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4"/>
    <sheet state="visible" name="All senders from mailing lists" sheetId="2" r:id="rId5"/>
    <sheet state="visible" name="Total Counters" sheetId="3" r:id="rId6"/>
    <sheet state="visible" name="MAME Git Authors" sheetId="4" r:id="rId7"/>
    <sheet state="visible" name="MESS SVN Authors" sheetId="5" r:id="rId8"/>
    <sheet state="visible" name="MAME Git Contributors" sheetId="6" r:id="rId9"/>
    <sheet state="visible" name="Other MAME Mailing List Recipie" sheetId="7" r:id="rId10"/>
    <sheet state="visible" name="MESS CVS Authors" sheetId="8" r:id="rId11"/>
    <sheet state="visible" name="MESS SVN Contributors" sheetId="9" r:id="rId12"/>
    <sheet state="visible" name="MESS CVS Contributors" sheetId="10" r:id="rId13"/>
    <sheet state="visible" name="Other MESS Mailing List Recipie" sheetId="11" r:id="rId14"/>
    <sheet state="visible" name="Other" sheetId="12" r:id="rId15"/>
    <sheet state="visible" name="Color Key" sheetId="13" r:id="rId16"/>
  </sheets>
  <definedNames/>
  <calcPr/>
</workbook>
</file>

<file path=xl/sharedStrings.xml><?xml version="1.0" encoding="utf-8"?>
<sst xmlns="http://schemas.openxmlformats.org/spreadsheetml/2006/main" count="2526" uniqueCount="1499">
  <si>
    <t>Name</t>
  </si>
  <si>
    <t>File tags:</t>
  </si>
  <si>
    <t>CanonicalName</t>
  </si>
  <si>
    <t>License</t>
  </si>
  <si>
    <t>Comment</t>
  </si>
  <si>
    <t>Email</t>
  </si>
  <si>
    <t>BSD-3-Clause</t>
  </si>
  <si>
    <t>Alt Names</t>
  </si>
  <si>
    <t>Code covered (optional)</t>
  </si>
  <si>
    <t>Other names</t>
  </si>
  <si>
    <t>Contributed code</t>
  </si>
  <si>
    <t>"Core Dev"</t>
  </si>
  <si>
    <t>Aaron Giles</t>
  </si>
  <si>
    <t>aaron@aarongiles.com, ebay@mamedev.com, aaron@Home.local, agiles@connectix.com, agiles@mame.net, agiles@sirius.com, agiles@synthcom.com</t>
  </si>
  <si>
    <t>Acho A. Tang</t>
  </si>
  <si>
    <t>acho@telus.net</t>
  </si>
  <si>
    <t>Code covered</t>
  </si>
  <si>
    <t>Adam Mastromarino (Razoola)</t>
  </si>
  <si>
    <t>cps2shock@retrogames.com, razoola@netti.fi, razoola@gifford.co.uk</t>
  </si>
  <si>
    <t>Al Kossow</t>
  </si>
  <si>
    <t>aek@bitsavers.org, aek@spies.com, aek@apple.com, kossow@computerhistory.org</t>
  </si>
  <si>
    <t>Alan J McCormick</t>
  </si>
  <si>
    <t>gonzothegreat@juno.com, weirdal@merr.com</t>
  </si>
  <si>
    <t>Virtu-Al</t>
  </si>
  <si>
    <t>Alex Jackson</t>
  </si>
  <si>
    <t>alex.w.jackson@gmail.com</t>
  </si>
  <si>
    <t>Alex Judd</t>
  </si>
  <si>
    <t>Alex Marshall</t>
  </si>
  <si>
    <t>ajudd@quantime.co.uk</t>
  </si>
  <si>
    <t>Alex Ramsay</t>
  </si>
  <si>
    <t>trap15</t>
  </si>
  <si>
    <t>alexramsay@home.com</t>
  </si>
  <si>
    <t>Alexandre Pikelhaizen</t>
  </si>
  <si>
    <t>pike@brfree.com.br</t>
  </si>
  <si>
    <t>Allard J. vanderBas</t>
  </si>
  <si>
    <t xml:space="preserve">GPL-2.0+ </t>
  </si>
  <si>
    <t>allard@mindless.com, avdbas@wi.leidenuniv.nl</t>
  </si>
  <si>
    <t>anarko</t>
  </si>
  <si>
    <t>anarko@telia.com</t>
  </si>
  <si>
    <t>Alex W. Jackson</t>
  </si>
  <si>
    <t>André Cotrim</t>
  </si>
  <si>
    <t>AWJ</t>
  </si>
  <si>
    <t>accotrim@terra.com.br, accotrim@ig.com.br (old?)</t>
  </si>
  <si>
    <t>Takuma Sakazaki</t>
  </si>
  <si>
    <t>Andre Hufschmidt (Couriersud)</t>
  </si>
  <si>
    <t>couriersud@arcor.de</t>
  </si>
  <si>
    <t>BSD3</t>
  </si>
  <si>
    <t>Andreas Naive</t>
  </si>
  <si>
    <t xml:space="preserve">??? </t>
  </si>
  <si>
    <t>Andrea Mazzoleni</t>
  </si>
  <si>
    <t>am@mediacom.it, am@geode.mediacom.it, amadvance@users.sourceforge.net</t>
  </si>
  <si>
    <t>andreasnaive@gmail.com</t>
  </si>
  <si>
    <t>Andrew Gardner</t>
  </si>
  <si>
    <t>Andrew Caldwell</t>
  </si>
  <si>
    <t>drewcifer, Androo</t>
  </si>
  <si>
    <t xml:space="preserve">LGPL-2.1+ </t>
  </si>
  <si>
    <t>Andrew McRae</t>
  </si>
  <si>
    <t>rom naming changes only</t>
  </si>
  <si>
    <t>acaldwell@thegrid.net</t>
  </si>
  <si>
    <t>asmcrae@gmail.com, dev@fesh.geek.nz, https://github.com/fesh0r</t>
  </si>
  <si>
    <t>androo.gardner@gmail.com, andrew_gardner@sbcglobal.net, gardner@ict.usc.edu</t>
  </si>
  <si>
    <t>fesh0r</t>
  </si>
  <si>
    <t>Andrew Scott</t>
  </si>
  <si>
    <t>Public Domain</t>
  </si>
  <si>
    <t>ascott@utkux.utcc.utk.edu</t>
  </si>
  <si>
    <t>Angelo Salese</t>
  </si>
  <si>
    <t>salese_corp_ltd@email.it, angelo.salese@tin.it</t>
  </si>
  <si>
    <t>Kale, angelosa</t>
  </si>
  <si>
    <t>Anthony Kruize</t>
  </si>
  <si>
    <t>trandor@labyrinth.net.au</t>
  </si>
  <si>
    <t xml:space="preserve">Zlib|LGPL-2.1+ </t>
  </si>
  <si>
    <t>Antoine Mine</t>
  </si>
  <si>
    <t>Antoine.Mine@ens.fr</t>
  </si>
  <si>
    <t>announ</t>
  </si>
  <si>
    <t>Atari Ace</t>
  </si>
  <si>
    <t>Alex Pasadyn</t>
  </si>
  <si>
    <t>atariace@hotmail.com</t>
  </si>
  <si>
    <t>TOTAL</t>
  </si>
  <si>
    <t>Atila Mert</t>
  </si>
  <si>
    <t>very minor change</t>
  </si>
  <si>
    <t>a.mert@chello.nl</t>
  </si>
  <si>
    <t>. https://github.com/announ</t>
  </si>
  <si>
    <t>Barry Nelson</t>
  </si>
  <si>
    <t>doc@vulcanmicro.com</t>
  </si>
  <si>
    <t>Barry S. Rodewald</t>
  </si>
  <si>
    <t>bsr@xnet.co.nz</t>
  </si>
  <si>
    <t>Ben Bruscella</t>
  </si>
  <si>
    <t>balr0g</t>
  </si>
  <si>
    <t>benbruscella@gmail.com, benbruscella@yahoo.com, ben@bruscella.net, ben@mame.net, ben@netstra.com.au</t>
  </si>
  <si>
    <t>balrog, balr0g</t>
  </si>
  <si>
    <t>Bernd Wiebelt</t>
  </si>
  <si>
    <t>wiebelt@mathematik.hu-berlin.de, bernardo@studi.mathematik.hu-berlin.de, bernardo@mathematik.hu-berlin.de</t>
  </si>
  <si>
    <t>Brad Oliver</t>
  </si>
  <si>
    <t>hoserama99@gmail.com, bradman@pobox.com, bradman@primenet.com</t>
  </si>
  <si>
    <t>Brian Callahan</t>
  </si>
  <si>
    <t>Brian A. Troha</t>
  </si>
  <si>
    <t>Allard van der Bas</t>
  </si>
  <si>
    <t>btroha@charter.net</t>
  </si>
  <si>
    <t>Contacted persons:</t>
  </si>
  <si>
    <t>Brian Deuel</t>
  </si>
  <si>
    <t>ultra-minor diff</t>
  </si>
  <si>
    <t>Master List:</t>
  </si>
  <si>
    <t>briandeuel@chartermi.net, atari@syzygy-magazine.com, atari@auis.net, atari@pathwaynet.com, atari1@chartermi.net, pinballsplus@auis.net</t>
  </si>
  <si>
    <t>. https://github.com/ibara</t>
  </si>
  <si>
    <t>responded</t>
  </si>
  <si>
    <t>ibara</t>
  </si>
  <si>
    <t>Brian Lewis</t>
  </si>
  <si>
    <t>blewis@elandtech.com</t>
  </si>
  <si>
    <t>Brian Peek</t>
  </si>
  <si>
    <t>peekb@albany.net, peekb@nycap.rr.com, peekb@union.edu</t>
  </si>
  <si>
    <t>Bryan McPhail</t>
  </si>
  <si>
    <t>Brian Troha</t>
  </si>
  <si>
    <t>tendrilmish@gmail.com, mish@vcmame.net, mish@mame.net, mish@tendril.co.uk, bmcphail@cs.strath.ac.uk</t>
  </si>
  <si>
    <t>batroha</t>
  </si>
  <si>
    <t>Carl B</t>
  </si>
  <si>
    <t>cracycarl@gmail.com</t>
  </si>
  <si>
    <t>waiting</t>
  </si>
  <si>
    <t>Carlos Alberto Lozano Baides</t>
  </si>
  <si>
    <t>calb@gsyc.inf.uc3m.es</t>
  </si>
  <si>
    <t>Mish</t>
  </si>
  <si>
    <t>Chack'n</t>
  </si>
  <si>
    <t>super.chackn@gmail.com, chackn_x@yahoo.com, chackn@mame.net</t>
  </si>
  <si>
    <t>Charles MacDonald</t>
  </si>
  <si>
    <t>chamacd@gmail.com, cgfm2@value.net</t>
  </si>
  <si>
    <t>Cesare Falco</t>
  </si>
  <si>
    <t>can't reach</t>
  </si>
  <si>
    <t>Chris Covell</t>
  </si>
  <si>
    <t>makefiles/manpages</t>
  </si>
  <si>
    <t>c.falco@ubuntu.com</t>
  </si>
  <si>
    <t>chris_covell@yahoo.ca</t>
  </si>
  <si>
    <t>Chris Hardy</t>
  </si>
  <si>
    <t>chris@hardys.plus.com, chris@junofirst.freeserve.co.uk, Chris_Hardy@vie.co.uk, juno@junofirst.freeserve.co.uk</t>
  </si>
  <si>
    <t>not yet emailed</t>
  </si>
  <si>
    <t>Chris Henry</t>
  </si>
  <si>
    <t>battlepriest@hotmail.com</t>
  </si>
  <si>
    <t>Chris Moore</t>
  </si>
  <si>
    <t>cgfm2</t>
  </si>
  <si>
    <t>chris@aethos.co.uk, mame_list@hotmail.com?</t>
  </si>
  <si>
    <t>deceased</t>
  </si>
  <si>
    <t>Christopher Kirmse</t>
  </si>
  <si>
    <t>ckirmse@pobox.com, ckirmse@ricochet.net</t>
  </si>
  <si>
    <t>Christopher Stone (XulChris)</t>
  </si>
  <si>
    <t>couriersud</t>
  </si>
  <si>
    <t>Christopher Stone</t>
  </si>
  <si>
    <t>code is rewriten by Mathias</t>
  </si>
  <si>
    <t>Cowering</t>
  </si>
  <si>
    <t>total</t>
  </si>
  <si>
    <t>Deceased - supposedly he did xmame and xmess, contributions where xmess code was in svn</t>
  </si>
  <si>
    <t>Cow</t>
  </si>
  <si>
    <t>acaldwell@thegrid.net (dead) https://www.linkedin.com/pub/andrew-caldwell/3/118/23 https://www.facebook.com/andrew.caldwell.5074, andrewmc@texas.net (old)</t>
  </si>
  <si>
    <t>cracyc</t>
  </si>
  <si>
    <t>http://www.legacy.com/obituaries/rgj/obituary.aspx?n=christopher-kirk-stone&amp;pid=163033443 tkmame@retrogames.com bounces, emailed XulChris through Fedora, tkchris@nvbell.net, chris.stone@gmail.com</t>
  </si>
  <si>
    <t>Carl</t>
  </si>
  <si>
    <t>crazyc</t>
  </si>
  <si>
    <t>tkChris, XulChris</t>
  </si>
  <si>
    <t>Chuck Cochems</t>
  </si>
  <si>
    <t>zaphod@tdl.com</t>
  </si>
  <si>
    <t>Corey C. / The Baron</t>
  </si>
  <si>
    <t>baronvr@usa.net, coreyc@rocketmail.com</t>
  </si>
  <si>
    <t>Corrado Tomaselli</t>
  </si>
  <si>
    <t>Curt Coder</t>
  </si>
  <si>
    <t>corrado.to@tiscali.it, toma.co@tin.it</t>
  </si>
  <si>
    <t>cowering@gmail.com</t>
  </si>
  <si>
    <t>cpumaster</t>
  </si>
  <si>
    <t>cpumaster@cox.net, cpumaster@home.com</t>
  </si>
  <si>
    <t>curtcoder@yahoo.com, curtcoder@mail.com</t>
  </si>
  <si>
    <t>Dan Boris</t>
  </si>
  <si>
    <t>dboris@comcast.net, dboris@erols.com, dboris@home.com</t>
  </si>
  <si>
    <t>David Viens</t>
  </si>
  <si>
    <t>Darren Olafson</t>
  </si>
  <si>
    <t>Andrew Kuchling</t>
  </si>
  <si>
    <t>LGPL-2.1+</t>
  </si>
  <si>
    <t>deo.is@telus.net, deo@mail.island.net, deo@mail.mame.net, deo@mame.net</t>
  </si>
  <si>
    <t>external</t>
  </si>
  <si>
    <t>plgDavid</t>
  </si>
  <si>
    <t>Dave / FinalDave</t>
  </si>
  <si>
    <t>dave@finalburn.com</t>
  </si>
  <si>
    <t>Dave / iq_132</t>
  </si>
  <si>
    <t>d2vanvoo@gmail.com</t>
  </si>
  <si>
    <t>Dave Dribin</t>
  </si>
  <si>
    <t>Andrew Prime</t>
  </si>
  <si>
    <t>dave-ml@dribin.org</t>
  </si>
  <si>
    <t>davidhay</t>
  </si>
  <si>
    <t>Dave Ewing</t>
  </si>
  <si>
    <t>Twitter @LordWibble</t>
  </si>
  <si>
    <t>David Haywood</t>
  </si>
  <si>
    <t>dave@emuverse.com</t>
  </si>
  <si>
    <t>Dave S "Klassix" Wolverton</t>
  </si>
  <si>
    <t>Haze</t>
  </si>
  <si>
    <t>davew@synthcom.com, davew@beacon.synthcom.com, hbbuse08@email.csun.edu, hbbuse08@huey.csun.edu</t>
  </si>
  <si>
    <t>David Graves</t>
  </si>
  <si>
    <t>mame@davidgraves.org, dg@davidgraves.org</t>
  </si>
  <si>
    <t>Andrew Zaferakis</t>
  </si>
  <si>
    <t>Derrick Renaud</t>
  </si>
  <si>
    <t>mamehaze@gmail.com, hazemamewip@hotmail.com, haze@mame.net, neohaze@btinternet.com, neohaze@hotmail.com, neohaze@nildram.co.uk, neohaze@x-stream.co.uk</t>
  </si>
  <si>
    <t>David J. Robertson</t>
  </si>
  <si>
    <t>emailed -- balrog 2015-05-26 -- replied same day</t>
  </si>
  <si>
    <t>derrickrenaud@yahoo.com, yardape8000@yahoo.com, http://www.mameworld.info/ubbthreads/showprofile.php?Cat=&amp;User=599</t>
  </si>
  <si>
    <t>David.Robertson19@btinternet.com, david@robertson4054.freeserve.co.uk, djrobertson38@hotmail.com, djrobertson@clara.co.uk</t>
  </si>
  <si>
    <t>Twitter @azaferakis, andrew.zaferakis@gmail.com</t>
  </si>
  <si>
    <t>David Ryskalczyk</t>
  </si>
  <si>
    <t>d235j.1@gmail.com</t>
  </si>
  <si>
    <t>David Sutherland</t>
  </si>
  <si>
    <t>turnkit@gmail.com</t>
  </si>
  <si>
    <t>Dirk Best</t>
  </si>
  <si>
    <t>davidv@plogue.com</t>
  </si>
  <si>
    <t>Duke</t>
  </si>
  <si>
    <t>David Widel</t>
  </si>
  <si>
    <t>dwidel@gmail.com</t>
  </si>
  <si>
    <t>BSD3, LGPL-2.1+</t>
  </si>
  <si>
    <t>derrickrenaud@yahoo.com, DerrickR@cogeco.ca</t>
  </si>
  <si>
    <t>Dirk Best (Duke)</t>
  </si>
  <si>
    <t>startaq@gmail.com</t>
  </si>
  <si>
    <t>Ed. Mueller</t>
  </si>
  <si>
    <t>Emmanuel Vadot</t>
  </si>
  <si>
    <t>emueller@ti.com</t>
  </si>
  <si>
    <t>OurChoice</t>
  </si>
  <si>
    <t>emailed -- balrog -- replied 2015-95-26</t>
  </si>
  <si>
    <t>trandor@labyrinth.net.au  - dead, anthony@ivt.com.au</t>
  </si>
  <si>
    <t>Eddie Edwards</t>
  </si>
  <si>
    <t>eddie@tinyted.net</t>
  </si>
  <si>
    <t>Eric Smith</t>
  </si>
  <si>
    <t>eric@brouhaha.com</t>
  </si>
  <si>
    <t>Ernesto Corvi</t>
  </si>
  <si>
    <t>ernesto@on-core.com</t>
  </si>
  <si>
    <t>Fabio Priuli / etabeta</t>
  </si>
  <si>
    <t>doge.fabio@gmail.com</t>
  </si>
  <si>
    <t>etabeta78</t>
  </si>
  <si>
    <t>Fabrice Francès</t>
  </si>
  <si>
    <t>Fabio Priuli</t>
  </si>
  <si>
    <t>frances@ensica.fr, frances@laas.fr</t>
  </si>
  <si>
    <t>etabeta, etabeta78</t>
  </si>
  <si>
    <t>Farfetch'd</t>
  </si>
  <si>
    <t>farfetchd@libero.it</t>
  </si>
  <si>
    <t>ANY</t>
  </si>
  <si>
    <t>Frank Palazzolo</t>
  </si>
  <si>
    <t>fmpalazzolo@gmail.com, frank.palazzolo@autodesk.com, frank.palazzolo@mcm1.com, frank@avoidspikes.com, cotmalehom@hotmail.com, palazzol@altair.com, palazzol@comcast.net, palazzol@home.com, palazzol@tir.com</t>
  </si>
  <si>
    <t>Gareth Hall</t>
  </si>
  <si>
    <t>Fabrice Bellet</t>
  </si>
  <si>
    <t>guruchoc@arcadeheaven.com, guruchoc@mame.net, guruchoc@searchlookfind.com</t>
  </si>
  <si>
    <t>Gareth Long</t>
  </si>
  <si>
    <t>fabrice@bellet.info</t>
  </si>
  <si>
    <t>gareth@maygay.com</t>
  </si>
  <si>
    <t>Gary Tabar</t>
  </si>
  <si>
    <t>Ariane Fugmann</t>
  </si>
  <si>
    <t>gareee@worldnet.att.net, nebula@digital.net</t>
  </si>
  <si>
    <t>Gary Walton</t>
  </si>
  <si>
    <t>gary.walton@virgin.net, gary.walton@ic24.net, lh012b0163@blueyonder.co.uk</t>
  </si>
  <si>
    <t>Felipe Corrêa da Silva Sanches</t>
  </si>
  <si>
    <t>Gérald Vanderick</t>
  </si>
  <si>
    <t>Felipe Sanches</t>
  </si>
  <si>
    <t>Gerald.Coy@skynet.be</t>
  </si>
  <si>
    <t>FSanches</t>
  </si>
  <si>
    <t>COY, Gerald</t>
  </si>
  <si>
    <t>Gerardo Oporto Jorrin</t>
  </si>
  <si>
    <t>gerar@ono.com, infojg@humv.es</t>
  </si>
  <si>
    <t>Gerco Ballintijn</t>
  </si>
  <si>
    <t>fulivi</t>
  </si>
  <si>
    <t>g.c.ballintyn@chello.nl, gerco@ballintijn.com</t>
  </si>
  <si>
    <t>F. Ulivi</t>
  </si>
  <si>
    <t>austere</t>
  </si>
  <si>
    <t>Gordon Jefferyes</t>
  </si>
  <si>
    <t>asked on IRC -- balrog, 2015-06-07</t>
  </si>
  <si>
    <t>Gordon.Jefferyes@sbpglobal.com, gjefferyes@hotmail.com, gjeffery@dircon.co.uk, gordon@jefferyes.org, Gordon1@jefferyes.org, gordon-j@home.com, mess@jefferyes.org</t>
  </si>
  <si>
    <t>austere@raidenii.net</t>
  </si>
  <si>
    <t>1 file</t>
  </si>
  <si>
    <t>Guru</t>
  </si>
  <si>
    <t>Greg Severi</t>
  </si>
  <si>
    <t>severi@bzzt.com</t>
  </si>
  <si>
    <t>TheGuru</t>
  </si>
  <si>
    <t>Guru / tgr / "John B"</t>
  </si>
  <si>
    <t>lantra9jp1@optusnet.com.au, lantra9jp1@iinet.net.au, lantra9jp@dingoblue.net.au, theguru@emuunlim.com</t>
  </si>
  <si>
    <t>Hans deGoede</t>
  </si>
  <si>
    <t>hap</t>
  </si>
  <si>
    <t>J.W.R.deGoede@ITS.TUDelft.NL, hans@dspnet.claranet.fr, hans@highrise.nl</t>
  </si>
  <si>
    <t>hap, Michaël Banaan Ananas</t>
  </si>
  <si>
    <t>balrog</t>
  </si>
  <si>
    <t>jonemaan@yahoo.com</t>
  </si>
  <si>
    <t>Hedley Rainnie</t>
  </si>
  <si>
    <t>hedley@8x8.com</t>
  </si>
  <si>
    <t>Happy</t>
  </si>
  <si>
    <t>N64DD, others</t>
  </si>
  <si>
    <t>Hiromitsu Shioya (hiro-shi)</t>
  </si>
  <si>
    <t>hiro-shi@s2.ocv.ne.jp, shica@cool.ne.jp</t>
  </si>
  <si>
    <t>Hobie Troxell (ht1848)</t>
  </si>
  <si>
    <t>Barry Rodewald</t>
  </si>
  <si>
    <t>ht1848@yahoo.com</t>
  </si>
  <si>
    <t>Ian Karlsson</t>
  </si>
  <si>
    <t>Howie</t>
  </si>
  <si>
    <t>one ultra minor diff</t>
  </si>
  <si>
    <t>themvrules@gmail.com</t>
  </si>
  <si>
    <t>Howie@endor.org, HSC5505@ritvax.isc.rit.edu</t>
  </si>
  <si>
    <t>Ian Patterson</t>
  </si>
  <si>
    <t>ianpatt@gmail.com, ianpatt@pacbell.net, ipatters@Mines.EDU</t>
  </si>
  <si>
    <t>Ivan Mackintosh</t>
  </si>
  <si>
    <t>ImJezze</t>
  </si>
  <si>
    <t>Jezze</t>
  </si>
  <si>
    <t>ivan@rcp.co.uk</t>
  </si>
  <si>
    <t>Ivan Vangelista (Osso)</t>
  </si>
  <si>
    <t>mesgnet@yahoo.it, ivan.vangelista@fastwebnet.it</t>
  </si>
  <si>
    <t>James Forshaw</t>
  </si>
  <si>
    <t>TyRaNiD@totalise.co.uk</t>
  </si>
  <si>
    <t>Ivan Vangelista</t>
  </si>
  <si>
    <t>James R. Twine</t>
  </si>
  <si>
    <t>Osso13, Osso</t>
  </si>
  <si>
    <t>jtwine@jrtwine.com, jtwine@bettynet.com</t>
  </si>
  <si>
    <t>James Surine</t>
  </si>
  <si>
    <t>xevious@holonet.net, xevious@visi.com</t>
  </si>
  <si>
    <t>James Wallace</t>
  </si>
  <si>
    <t>bernd.wiebelt@gmail.com</t>
  </si>
  <si>
    <t>AGEMAME, El Condor</t>
  </si>
  <si>
    <t>never main contributor</t>
  </si>
  <si>
    <t>jeawallace@gmail.com, agemame@gmail.com</t>
  </si>
  <si>
    <t>Jarek Burczynski</t>
  </si>
  <si>
    <t>bujarek@yahoo.com, bujar@mame.net, jarek@synthcom.com, pbk01@ikp.atm.com.pl, pbk01@ikp.pl, s0246@poczta.onet.pl</t>
  </si>
  <si>
    <t>Jean Chung</t>
  </si>
  <si>
    <t>bujarek@yahoo.com, http://www.mameworld.info/ubbthreads/showprofile.php?Cat=&amp;User=5370, http://www.astrobin.com/users/bujarek/, https://www.linkedin.com/pub/jaroslaw-burczynski/1/a40/a65?trk=pub-pbmap</t>
  </si>
  <si>
    <t>jhanchung@home.com</t>
  </si>
  <si>
    <t>bujar, BZYK</t>
  </si>
  <si>
    <t>Jeff Mitchell</t>
  </si>
  <si>
    <t>skeezix@skeleton.org</t>
  </si>
  <si>
    <t>Brad Martin</t>
  </si>
  <si>
    <t>Jesus Moya</t>
  </si>
  <si>
    <t>Jim Stolis</t>
  </si>
  <si>
    <t>jmoya@intertests.com</t>
  </si>
  <si>
    <t>jmoya</t>
  </si>
  <si>
    <t>stolistic</t>
  </si>
  <si>
    <t>Jetset</t>
  </si>
  <si>
    <t>jetset@runbox.com</t>
  </si>
  <si>
    <t>Jim Hernandez (vidpro1)</t>
  </si>
  <si>
    <t>vidpro1@comcast.net, vidpro1@ix.netcom.com, vidpro1@mail.netzero.net, vidpro1@netzero.com, vidpro1@netzero.net, jimhernandez@comcast.net, jimhernandez@home.com, jimhernandez@attbi.com, a@a.com, pinball@illuminati.heald.edu</t>
  </si>
  <si>
    <t>Joakim Larsson Edström</t>
  </si>
  <si>
    <t>joakimlarsson42@gmail.com</t>
  </si>
  <si>
    <t>jims@stolistic.com, mame@stolistic.com</t>
  </si>
  <si>
    <t>Joe Zbiciak</t>
  </si>
  <si>
    <t>Jon Sturm</t>
  </si>
  <si>
    <t>intvnut@gmail.com</t>
  </si>
  <si>
    <t>jonimoose@gmail.com - Jonimus on IRC</t>
  </si>
  <si>
    <t>Brett Wyer</t>
  </si>
  <si>
    <t>John Butler</t>
  </si>
  <si>
    <t>emailed -- balrog -- replied 2015-05-26</t>
  </si>
  <si>
    <t>Jonathan Gevaryahu</t>
  </si>
  <si>
    <t>brett.wyer@firstdata.com</t>
  </si>
  <si>
    <t>jcbutler@pobox.com, jcbutler@worldnet.att.net</t>
  </si>
  <si>
    <t>Lord_Nightmare</t>
  </si>
  <si>
    <t>John den Hartog</t>
  </si>
  <si>
    <t>Jürgen Buchmüller</t>
  </si>
  <si>
    <t>delite@xs4all.nl</t>
  </si>
  <si>
    <t>jbu, pullmoll</t>
  </si>
  <si>
    <t>John L. Hardy IV</t>
  </si>
  <si>
    <t>jhardyiv@comcast.net, jhardyiv@hotmail.com, john4@pop.nwnexus.com, Johnh@jetsoft.com, mame32qa@hotmail.com</t>
  </si>
  <si>
    <t>Justin Kerk</t>
  </si>
  <si>
    <t>DFJustin, DopeFishJustin</t>
  </si>
  <si>
    <t>jgevaryahu@gmail.com, jgevaryahu@comcast.net, jzg22@drexel.edu</t>
  </si>
  <si>
    <t>k2-git</t>
  </si>
  <si>
    <t>no tags at the time, need email</t>
  </si>
  <si>
    <t>kgm@be.to</t>
  </si>
  <si>
    <t>Jose Quinones (JoseQ)</t>
  </si>
  <si>
    <t>joseq@speedhost.com, joseq@emuviews.com</t>
  </si>
  <si>
    <t>Juergen Buchmueller / Jürgen Buchmüller</t>
  </si>
  <si>
    <t>Kyungdahm Yun</t>
  </si>
  <si>
    <t>ultra ultra minor change, no need to email</t>
  </si>
  <si>
    <t>pullmoll@t-online.de, pullmoll@box.linux.bogus, pullmoll@www.pullmoll.de, juergen@mame.net</t>
  </si>
  <si>
    <t>tomyun@gmail.com</t>
  </si>
  <si>
    <t>BUT</t>
  </si>
  <si>
    <t>dopefishjustin@gmail.com</t>
  </si>
  <si>
    <t>Our choice</t>
  </si>
  <si>
    <t>emailed balrog 2015-12-20 - bounced</t>
  </si>
  <si>
    <t>K. Wilkins</t>
  </si>
  <si>
    <t>Laurent Desnogues</t>
  </si>
  <si>
    <t>keith.wilkins@esplexo.co.uk</t>
  </si>
  <si>
    <t>but@seimei.zzn.com, http://www.mameworld.info/ubbthreads/showprofile.php?Cat=&amp;User=231</t>
  </si>
  <si>
    <t>Karl Stenerud</t>
  </si>
  <si>
    <t>2 drivers</t>
  </si>
  <si>
    <t>laurent.desnogues@gmail.com</t>
  </si>
  <si>
    <t>kstenerud@mame.net, kstenerud@higashiyama-unet.ocn.ne.jp, kstenerud@xoommail.com</t>
  </si>
  <si>
    <t>Chack'n Pop, Thunder Ceptor (drivers written)</t>
  </si>
  <si>
    <t>Keenan Wilkie</t>
  </si>
  <si>
    <t>"Although I lost contact with BUT these years, I am very sure he was a firm supporter of MAME team. I'd say that any license change that MAME team prefers would be fine for our contribution." -- Lei Wu</t>
  </si>
  <si>
    <t>darkstar@iglou.com</t>
  </si>
  <si>
    <t>Logan B</t>
  </si>
  <si>
    <t>Kevin Thacker (Core Design Ltd)</t>
  </si>
  <si>
    <t>asked on irc</t>
  </si>
  <si>
    <t>. http://forums.bannister.org/ubbthreads.php?ubb=showprofile&amp;User=6840</t>
  </si>
  <si>
    <t>KevinT@Core-Design.com, kev@arnoldemu.freeserve.co.uk</t>
  </si>
  <si>
    <t>Luca Bruno</t>
  </si>
  <si>
    <t>kirin</t>
  </si>
  <si>
    <t>byuu</t>
  </si>
  <si>
    <t>kirin@kyoko.org, kirin@dspnet.claranet.fr</t>
  </si>
  <si>
    <t>GPL-2.0+</t>
  </si>
  <si>
    <t>Krzysztof Strzecha</t>
  </si>
  <si>
    <t>Luca Elia</t>
  </si>
  <si>
    <t>strzecha@kis.p.lodz.pl</t>
  </si>
  <si>
    <t>Kyle Davis</t>
  </si>
  <si>
    <t>kdavis@channelpoint.com</t>
  </si>
  <si>
    <t>Larry DeMar</t>
  </si>
  <si>
    <t>LuigiBlood</t>
  </si>
  <si>
    <t>Larry@LEDgaming.com</t>
  </si>
  <si>
    <t>Seru-Kun</t>
  </si>
  <si>
    <t>Lawrence Gold</t>
  </si>
  <si>
    <t>gold@xmission.com, gold@aros.net, gold@shell.aros.net</t>
  </si>
  <si>
    <t>aaron</t>
  </si>
  <si>
    <t>Lee Taylor</t>
  </si>
  <si>
    <t>mahlemiut</t>
  </si>
  <si>
    <t>lee@leetaylor.co.uk, lee@infogration.com, lee@infogration.co.uk, Lee@defender.demon.co.uk</t>
  </si>
  <si>
    <t>Carlos A. Lozano</t>
  </si>
  <si>
    <t>Lee Ward</t>
  </si>
  <si>
    <t>angelosa</t>
  </si>
  <si>
    <t>lee@sitefinders.co.uk, lee@the-mothership.fsnet.co.uk, lpopman@dspnet.fr.eu.org</t>
  </si>
  <si>
    <t>Manuel Abadia</t>
  </si>
  <si>
    <t>luca.elia@gmail.com, l.elia@tin.it, eliavit@unina.it</t>
  </si>
  <si>
    <t>antoine</t>
  </si>
  <si>
    <t>Manu</t>
  </si>
  <si>
    <t>mamedev@gmail.com, manu@mame.net</t>
  </si>
  <si>
    <t>benbruscella</t>
  </si>
  <si>
    <t>Marat Fayzullin</t>
  </si>
  <si>
    <t>Carlos Santillan</t>
  </si>
  <si>
    <t>fms@cs.umd.edu</t>
  </si>
  <si>
    <t>mariuszw</t>
  </si>
  <si>
    <t>cow</t>
  </si>
  <si>
    <t>Mariusz Wojcieszek</t>
  </si>
  <si>
    <t>Marc Lafontaine</t>
  </si>
  <si>
    <t>curtcoder</t>
  </si>
  <si>
    <t>marclaf@sympatico.ca</t>
  </si>
  <si>
    <t>dboris</t>
  </si>
  <si>
    <t>Mathis Rosenhauer</t>
  </si>
  <si>
    <t>Marc Sandusky</t>
  </si>
  <si>
    <t>Marc_Sandusky@Phoenix.com</t>
  </si>
  <si>
    <t>Marc Vergoossen</t>
  </si>
  <si>
    <t>marc.vergoossen@pi.net, qro@wxs.nl</t>
  </si>
  <si>
    <t>emailed - balrog</t>
  </si>
  <si>
    <t>MetalliC</t>
  </si>
  <si>
    <t>Marco Cassili</t>
  </si>
  <si>
    <t>dve</t>
  </si>
  <si>
    <t>Dirk V.</t>
  </si>
  <si>
    <t>sand666@libero.it, sandman@flashnet.it, mc8758@mclink.it, ua01387@mbox1.flashnet.it</t>
  </si>
  <si>
    <t>not credited</t>
  </si>
  <si>
    <t>Dirk Verwiebe</t>
  </si>
  <si>
    <t>Mario Silva</t>
  </si>
  <si>
    <t>etabeta</t>
  </si>
  <si>
    <t>mar_silva@netcabo.pt, marsilva@ip.pt, mrsilva@netcabo.pt</t>
  </si>
  <si>
    <t>Michael Zapf</t>
  </si>
  <si>
    <t>mizapf</t>
  </si>
  <si>
    <t>mariuszw1@gazeta.pl</t>
  </si>
  <si>
    <t>firewave</t>
  </si>
  <si>
    <t>Mark L (incog nito)</t>
  </si>
  <si>
    <t>Oliver Stöneberg</t>
  </si>
  <si>
    <t>Firewave</t>
  </si>
  <si>
    <t>incog88@gmail.com, incog88@googlemail.com</t>
  </si>
  <si>
    <t>Mike Naberezny</t>
  </si>
  <si>
    <t>galibert</t>
  </si>
  <si>
    <t>Mark McDougall</t>
  </si>
  <si>
    <t>Olivier Galibert</t>
  </si>
  <si>
    <t>msmcdoug@optushome.com.au, msmcdoug@iinet.net.au</t>
  </si>
  <si>
    <t>Martin Scragg</t>
  </si>
  <si>
    <t>gerco</t>
  </si>
  <si>
    <t>mnm@onaustralia.com.au</t>
  </si>
  <si>
    <t>Marty Amodeo</t>
  </si>
  <si>
    <t>mamodeo@stny.rr.com</t>
  </si>
  <si>
    <t>miodragm</t>
  </si>
  <si>
    <t>Miodrag Milanovic</t>
  </si>
  <si>
    <t>gsjeff</t>
  </si>
  <si>
    <t>m.milanovic@levi9.com</t>
  </si>
  <si>
    <t>Micko</t>
  </si>
  <si>
    <t>rosenhauer@dkrz.de, rosenhauer@pobox.com, rosenhau@dv.go.dlr.de, rosenhau@master.sm.go.dlr.de, rosenhau@n05.sp.go.dlr.de, rosenhau@trantor.sm.go.dlr.de, k202009@donner.dkrz.de, reason@pobox.com</t>
  </si>
  <si>
    <t>Maurizio Zanello (The Mighty Maury)</t>
  </si>
  <si>
    <t>ht1848</t>
  </si>
  <si>
    <t>Hobie Troxell</t>
  </si>
  <si>
    <t>i0100115@ingstud.univ.trieste.it</t>
  </si>
  <si>
    <t>Michael Adcock</t>
  </si>
  <si>
    <t>Mirko Buffoni</t>
  </si>
  <si>
    <t>incog</t>
  </si>
  <si>
    <t>MichaelA@bsquare.com</t>
  </si>
  <si>
    <t>Mix</t>
  </si>
  <si>
    <t>Michael Soderstrom</t>
  </si>
  <si>
    <t>Incog</t>
  </si>
  <si>
    <t>michael.soderstrom@yahoo.com, ichael@geocities.com</t>
  </si>
  <si>
    <t>Incog, incog nito</t>
  </si>
  <si>
    <t>Miso Kim</t>
  </si>
  <si>
    <t>Michael.Zapf@mizapf.de</t>
  </si>
  <si>
    <t>jgevarya</t>
  </si>
  <si>
    <t>meeso.kim@gmail.com</t>
  </si>
  <si>
    <t>Miguel Angel Horna</t>
  </si>
  <si>
    <t>lord_nightmare</t>
  </si>
  <si>
    <t>ElSemi@gmail.com</t>
  </si>
  <si>
    <t>jkerk</t>
  </si>
  <si>
    <t>Mike Appolo</t>
  </si>
  <si>
    <t>appolo@scoot.netis.com</t>
  </si>
  <si>
    <t>Mike Balfour</t>
  </si>
  <si>
    <t>JoJo</t>
  </si>
  <si>
    <t>mock--</t>
  </si>
  <si>
    <t>Stefano Priore</t>
  </si>
  <si>
    <t>mbalfour@innovativesystems.net, mab22@po.cwru.edu, overload@primenet.com</t>
  </si>
  <si>
    <t>stefano.priore@inwind.it</t>
  </si>
  <si>
    <t>softlist changes only</t>
  </si>
  <si>
    <t>Mike Coates</t>
  </si>
  <si>
    <t>emailed -- balrog 2015-05-28, replied instantly</t>
  </si>
  <si>
    <t>vladvlad@live.com, http://forums.bannister.org/ubbthreads.php?ubb=showprofile&amp;User=5754 (??)</t>
  </si>
  <si>
    <t>mame@arcades.org.uk, mame@btinternet.com, mcoates@bountysca.co.uk, mcoates@mame.net, mike.coates@btinternet.com, MIKE@dissfulfils.co.uk, mike@the-coates.com</t>
  </si>
  <si>
    <t>zwax.marp@gmail.com</t>
  </si>
  <si>
    <t>kst</t>
  </si>
  <si>
    <t>2 drivers + 1 shared</t>
  </si>
  <si>
    <t>Mike Green</t>
  </si>
  <si>
    <t>mikedx@retrowarez.com, mike@retrowarez.com, sass@retrogames.com</t>
  </si>
  <si>
    <t>mzdmommy</t>
  </si>
  <si>
    <t>Mike Haaland</t>
  </si>
  <si>
    <t>dipswitch changes only</t>
  </si>
  <si>
    <t>mzdmommy@popngodsystem.com</t>
  </si>
  <si>
    <t>mike@mikesarcade.com, mhaaland@hypertech.com, mhaaland@lvcm.com</t>
  </si>
  <si>
    <t>mathisro</t>
  </si>
  <si>
    <t>Christian Brunschen</t>
  </si>
  <si>
    <t>rosenhauer@pobox.com</t>
  </si>
  <si>
    <t>Nathan Woods</t>
  </si>
  <si>
    <t>Mike Luong</t>
  </si>
  <si>
    <t>mluong@uci.edu</t>
  </si>
  <si>
    <t>Bletch</t>
  </si>
  <si>
    <t>micko</t>
  </si>
  <si>
    <t>mike@naberezny.com</t>
  </si>
  <si>
    <t>Miodrag Milanovic (Micko)</t>
  </si>
  <si>
    <t>mmicko@gmail.com</t>
  </si>
  <si>
    <t>Christian Groessler</t>
  </si>
  <si>
    <t>Nicola Salmoria</t>
  </si>
  <si>
    <t>Mirko 'MiX' Buffoni</t>
  </si>
  <si>
    <t>GPL2(+) or BSD3</t>
  </si>
  <si>
    <t>nicolasa</t>
  </si>
  <si>
    <t>mb432377@saturn.media.dsi.unimi.it, lim.dsi.unimi.it@lin.softsolutions.it, lim.dsi.unimi.it@geode.mediacom.it, mame@mirkosoft.net, mix@lim.dsi.unimi.it, mix@mame.net</t>
  </si>
  <si>
    <t>chris@groessler.org works but bounces from @gmail.com; ccmpcpg@yahoo.de is for classiccmp list</t>
  </si>
  <si>
    <t>Mr. Do</t>
  </si>
  <si>
    <t>1 driver</t>
  </si>
  <si>
    <t>mooglyguy</t>
  </si>
  <si>
    <t>mrdo@outlook.com, mrdo_emu@hotmail.com</t>
  </si>
  <si>
    <t>nitrofurano</t>
  </si>
  <si>
    <t>Ryan Holtz</t>
  </si>
  <si>
    <t>palette changes only</t>
  </si>
  <si>
    <t>MooglyGuy, Just Desserts, Harmony, SGINut</t>
  </si>
  <si>
    <t>nitrofurano@gmail.com, http://forums.bannister.org/ubbthreads.php?ubb=showprofile&amp;User=7090, http://www.mameworld.info/ubbthreads/showprofile.php?Cat=&amp;User=23627</t>
  </si>
  <si>
    <t>npwoods@cybercom.net, npwoods@valium.cybercom.net, nwoods@veridocs.com, nathan@summsoft.com</t>
  </si>
  <si>
    <t>npwoods</t>
  </si>
  <si>
    <t>Neil Bradley</t>
  </si>
  <si>
    <t>nb@synthcom.com, neil@synthcom.com</t>
  </si>
  <si>
    <t>Christopher Edwards</t>
  </si>
  <si>
    <t>PeT</t>
  </si>
  <si>
    <t>Peter Trauner</t>
  </si>
  <si>
    <t>nicola@mamedev.org, nicola.salmoria@virgilio.it, MC6489@mclink.it</t>
  </si>
  <si>
    <t>oliverst@online.de</t>
  </si>
  <si>
    <t>phs</t>
  </si>
  <si>
    <t>Phill Harvey-Smith</t>
  </si>
  <si>
    <t>galibert@pobox.com, galibert@nemesis.ncsl.nist.gov, galibert@cp912944-a.mtgmry1.md.home.com</t>
  </si>
  <si>
    <t>rbelmont</t>
  </si>
  <si>
    <t>Omar Cornut (Zoop)</t>
  </si>
  <si>
    <t>R. Belmont</t>
  </si>
  <si>
    <t>omarcornut@gmail.com, cornut@noos.fr, cornut@capway.com</t>
  </si>
  <si>
    <t>Christopher Stone (tkChris, XulChris)</t>
  </si>
  <si>
    <t>Patrick Lawrence</t>
  </si>
  <si>
    <t>robbbert</t>
  </si>
  <si>
    <t>pjl@ns.net</t>
  </si>
  <si>
    <t>Robbbert</t>
  </si>
  <si>
    <t>Parry</t>
  </si>
  <si>
    <t>Paul Leaman</t>
  </si>
  <si>
    <t>. https://github.com/mbcoguno</t>
  </si>
  <si>
    <t>http://www.legacy.com/obituaries/rgj/obituary.aspx?n=christopher-kirk-stone&amp;pid=163033443, chris.stone@gmail.com (most current), tkchris@nvbell.net (2009), tkmame@retrogames.com (bounces), emailed XulChris through Fedora, stlchris@swbell.net (old)</t>
  </si>
  <si>
    <t>paul_leaman@hotmail.com, paul@vortexcomputing.demon.co.uk</t>
  </si>
  <si>
    <t>robiza71</t>
  </si>
  <si>
    <t>Roberto Zandona'</t>
  </si>
  <si>
    <t>Paul Lunga</t>
  </si>
  <si>
    <t>robiza</t>
  </si>
  <si>
    <t>Paul Priest</t>
  </si>
  <si>
    <t>paul123@freenet.tlh.fl.us</t>
  </si>
  <si>
    <t>smf</t>
  </si>
  <si>
    <t>Paul Priest (Tourniquet)</t>
  </si>
  <si>
    <t>ppriest@gmail.com, http://www.mameworld.info/ubbthreads/showprofile.php?Cat=&amp;User=19</t>
  </si>
  <si>
    <t>Tourniquet</t>
  </si>
  <si>
    <t>ppriest@gmail.com, tourniquet@gmx.net, tourniquet@mameworld.net</t>
  </si>
  <si>
    <t>sronco</t>
  </si>
  <si>
    <t>Peter Custerson (pcus)</t>
  </si>
  <si>
    <t>Sandro Ronco</t>
  </si>
  <si>
    <t>pcus@sequent.com</t>
  </si>
  <si>
    <t>Colin Howell</t>
  </si>
  <si>
    <t>peterferrie</t>
  </si>
  <si>
    <t>Peter Ferrie</t>
  </si>
  <si>
    <t>emailed balrog 2015-05-28, 2015-12-20; Stiletto 2016-01-22, code rewritten by RB - "fine with relicensing my contributions under BSD-3-Clause, or whatever other licensing decision you might have preferred" 2017-04-14 - https://github.com/mamedev/mame/issues/2225#issuecomment-294252616</t>
  </si>
  <si>
    <t>pferrie</t>
  </si>
  <si>
    <t>tafoidss</t>
  </si>
  <si>
    <t>peter.trauner@jk.uni-linz.ac.at, pet@mx1.utanet.at, pet@jk.uni-linz.ac.at, peter.trauner@utanet.at, pet@dspnet.dspnet.claranet.fr, pet@dspnet.fr.eu.org</t>
  </si>
  <si>
    <t>Scott Stone</t>
  </si>
  <si>
    <t>Phil Stroffolino</t>
  </si>
  <si>
    <t>Tafoid</t>
  </si>
  <si>
    <t>http://forums.bannister.org/ubbthreads.php?ubb=showprofile&amp;User=230 (though not active for a long time), chowell2@pacbell.net, colin.d.howell@gmail.com, http://www.mameworld.info/ubbthreads/showprofile.php?Cat=&amp;User=14415, http://www.ztnet.com/cgi-bin/wwwthreads/showprofile.pl?User=chowell2, Colin Douglas Howell,  521 Del Medio Ave, Mountain View, CA 94040, (650) 941-4948, https://flightaware.com/user/colindhowell</t>
  </si>
  <si>
    <t>pstroffo@yahoo.com, pjstroff@hotmail.com, phil@maya.com</t>
  </si>
  <si>
    <t>timmetje</t>
  </si>
  <si>
    <t>Phil Bennett</t>
  </si>
  <si>
    <t>Tim Schuerewegen</t>
  </si>
  <si>
    <t>Philip Bennett</t>
  </si>
  <si>
    <t>Phil_B</t>
  </si>
  <si>
    <t>p.j.bennett@gmail.com</t>
  </si>
  <si>
    <t>tlindner</t>
  </si>
  <si>
    <t>Tim Lindner</t>
  </si>
  <si>
    <t>p.harvey-smith@warwick.ac.uk, afra@ramoth.org.uk, afra@aurigae.demon.co.uk</t>
  </si>
  <si>
    <t>wfp</t>
  </si>
  <si>
    <t>Phillip "Phill" Wooler / smf / dosmame</t>
  </si>
  <si>
    <t>Wilbert Pol</t>
  </si>
  <si>
    <t>Stroff</t>
  </si>
  <si>
    <t>Judge</t>
  </si>
  <si>
    <t>smf@null.net, smf@dosmame.fsnet.co.uk, phill.wooller@gmail.com, phill.wooller@virginmedia.com, phillwooller@noelite.freeserve.co.uk, neosmf@icqmail.com</t>
  </si>
  <si>
    <t>Colin Plumb</t>
  </si>
  <si>
    <t>xulchris</t>
  </si>
  <si>
    <t>Pierpaolo Prazzoli</t>
  </si>
  <si>
    <t>pprazzoli@email.it</t>
  </si>
  <si>
    <t>Quench</t>
  </si>
  <si>
    <t>Reip</t>
  </si>
  <si>
    <t>quench@inmail24.com, quench@mindless.com, quench@myrealbox.com, quench@onebox.com</t>
  </si>
  <si>
    <t>Randy Hoffman</t>
  </si>
  <si>
    <t>wraith@arcadecollecting.com, wraith@mame.net, wraith@nb.net, wraith@portsys.net, randy.hoffman@blackbox.com</t>
  </si>
  <si>
    <t>Couriersud</t>
  </si>
  <si>
    <t>Randy Rains</t>
  </si>
  <si>
    <t>mhatchet@hotmail.com</t>
  </si>
  <si>
    <t>Quench0</t>
  </si>
  <si>
    <t>Raphael Nabet</t>
  </si>
  <si>
    <t>pytheas@club-internet.fr</t>
  </si>
  <si>
    <t>Ricardo Bittencourt</t>
  </si>
  <si>
    <t>ricbit@zaz.com.br</t>
  </si>
  <si>
    <t>asked on IRC</t>
  </si>
  <si>
    <t>Richard Bannister</t>
  </si>
  <si>
    <t>Ramiro Polla</t>
  </si>
  <si>
    <t>richard@bannister.org, home@bannister.org, richard@indigo.ie, titan@indigo.ie, noxegon@spamarrest.com</t>
  </si>
  <si>
    <t>Richter Belmont / R. Belmont</t>
  </si>
  <si>
    <t>rbelmont37@yahoo.com, rbelmont@mail.com</t>
  </si>
  <si>
    <t>RealComboman</t>
  </si>
  <si>
    <t>pac0446@bigpond.net.au, dalek777@hotmail.com</t>
  </si>
  <si>
    <t>dwall@yahoo.com</t>
  </si>
  <si>
    <t>Robert R. Anschuetz II</t>
  </si>
  <si>
    <t>Comboman</t>
  </si>
  <si>
    <t>Robert Anschuetz</t>
  </si>
  <si>
    <t>anschuer@yahoo.com, anschuer@orlando.veda.com</t>
  </si>
  <si>
    <t>Roberto Fresca</t>
  </si>
  <si>
    <t>robbie@mame.net, robdev@fibertel.com.ar</t>
  </si>
  <si>
    <t>Reed</t>
  </si>
  <si>
    <t>ultra minor changes to file2str.py</t>
  </si>
  <si>
    <t>Roberto Zandonà</t>
  </si>
  <si>
    <t>. https://github.com/reedlove</t>
  </si>
  <si>
    <t>robiza71@tin.it</t>
  </si>
  <si>
    <t>Dag Lem</t>
  </si>
  <si>
    <t>Ron Fries</t>
  </si>
  <si>
    <t>Ron.Fries@EmersonProcess.com, Ron.Fries@austin.frco.com, rfries@mail.wt.net, rfries@tcmail.frco.com, rfries@wt.net, rfries@aol.com, Ron.Fries@emerson.com</t>
  </si>
  <si>
    <t>Ruben Panossian</t>
  </si>
  <si>
    <t>malcor@tpg.com.au, malcor@ozemail.com.au, malcor@dingoblue.net.au, tmek@bigpond.com</t>
  </si>
  <si>
    <t>Malcor</t>
  </si>
  <si>
    <t>dumper mainly?</t>
  </si>
  <si>
    <t>Robert</t>
  </si>
  <si>
    <t>mooglyguy@gmail.com, rholtz@batcountryentertainment.com</t>
  </si>
  <si>
    <t>sandroronco@gmail.com, sandro.ronco@gmx.com</t>
  </si>
  <si>
    <t>Santeri Saarimaa</t>
  </si>
  <si>
    <t>gridle@gmail.com, gridle@mbnet.fi</t>
  </si>
  <si>
    <t>Gridle</t>
  </si>
  <si>
    <t>Old MAME.net maintainer</t>
  </si>
  <si>
    <t>Satoshi Suzuki</t>
  </si>
  <si>
    <t>s-suz@sunfield.ne.jp</t>
  </si>
  <si>
    <t>Daniel Coulom</t>
  </si>
  <si>
    <t>Scott Evans</t>
  </si>
  <si>
    <t>there was mark in code that it is GPL2</t>
  </si>
  <si>
    <t>safestuff@safestuff.com</t>
  </si>
  <si>
    <t>2 files</t>
  </si>
  <si>
    <t>Sean Young</t>
  </si>
  <si>
    <t>sean@mess.org, sean@scum.org, sean@atlantis.8hz.com</t>
  </si>
  <si>
    <t>Robbie</t>
  </si>
  <si>
    <t>Sebastien Volpe</t>
  </si>
  <si>
    <t>loneseb@free.fr</t>
  </si>
  <si>
    <t>Shane R. Monroe / Patchz</t>
  </si>
  <si>
    <t>no-sleep@televar.com</t>
  </si>
  <si>
    <t>Darkstar</t>
  </si>
  <si>
    <t>Shouhei Nishi</t>
  </si>
  <si>
    <t>nishi@ise.eng.osaka-u.ac.jp</t>
  </si>
  <si>
    <t>Stefan Jokisch</t>
  </si>
  <si>
    <t>Roberto Zandona</t>
  </si>
  <si>
    <t>stefan.jokisch@gmx.de</t>
  </si>
  <si>
    <t>stefano.priore@fastwebnet.it, stefano.priore@inwind.it, stefano.priore@katamail.com, stefano@inwind.it, stefano@toy.sector1.net</t>
  </si>
  <si>
    <t>stephh</t>
  </si>
  <si>
    <t>upstephh.wip@free.fr, upstephh_dev@yahoo.fr</t>
  </si>
  <si>
    <t>Steve Baines</t>
  </si>
  <si>
    <t>s.j.baines@nortel.co.uk, mame@globalnet.co.uk, sulaco@ntlworld.com</t>
  </si>
  <si>
    <t>Steve Ellenoff</t>
  </si>
  <si>
    <t>sellenoff@speedfactory.net</t>
  </si>
  <si>
    <t>Stiletto / SWStiletto</t>
  </si>
  <si>
    <t>stiletto@fastmail.fm, swstiletto@mailandnews.com</t>
  </si>
  <si>
    <t>tafoid@gmail.com, tafoid@yahoo.com</t>
  </si>
  <si>
    <t>Takahiro Nogi</t>
  </si>
  <si>
    <t>nogi@kt.rim.or.jp</t>
  </si>
  <si>
    <t>Tatsuya Fujita</t>
  </si>
  <si>
    <t>fujix@e2j.net</t>
  </si>
  <si>
    <t>Tatsuyuki Satoh</t>
  </si>
  <si>
    <t>tsa@jcom.home.ne.jp, tatuyuki@pop1.tky.3web.ne.jp, tatuyuki@pop1.tky.threewebnet.or.jp, tatuyuki@tky.3web.ne.jp, tatuyuki@tky.threewebnet.or.jp</t>
  </si>
  <si>
    <t>Thierry Lescot / ShinobiZ</t>
  </si>
  <si>
    <t>shinobiz@skynet.be, shinobi@skynet.be, shinobiz.mame@skynet.be, shinobiz.prive@skynet.be, thierry.lescot@belgacom.be, thierry.lescot@skynet.be, tlc.prive@belgacom.net, tlc.prive@ibelgique.com, tlc@skynet.be</t>
  </si>
  <si>
    <t>Till Oldemeyer</t>
  </si>
  <si>
    <t>Till.Oldemeyer@t-online.de, till@sys2064.com</t>
  </si>
  <si>
    <t>Tim Browse</t>
  </si>
  <si>
    <t>added ROM</t>
  </si>
  <si>
    <t>satoshis@mamedev.org, suzzsegv@gmail.com, s-suz@sunfield.ne.jp</t>
  </si>
  <si>
    <t>tim@h2g2.com, tim@igethalf.com, tim@tdv.com</t>
  </si>
  <si>
    <t>SUZ</t>
  </si>
  <si>
    <t>lindnertim@gmail.com, lindnertim@yahoo.com, tlindner@ix.netcom.com, tlindner@macmess.org</t>
  </si>
  <si>
    <t>Tim Lindquist</t>
  </si>
  <si>
    <t>tim@arcadecollecting.com, tim@mail.arcadecollecting.com, tim@mame.net, arcadecollecting@sbcglobal.net, tim@djpub.com, tim@doublejump.com, powerjaw@dnai.com</t>
  </si>
  <si>
    <t>Toby Broyad</t>
  </si>
  <si>
    <t>sixtoe@sky.com, sixtoe@system16.com, sixtoe@nildram.co.uk, sixtoe@clara.co.uk, sixtoe@gotadsl.co.uk, six.toe@btinternet.com, Six.Toe@btopenworld.com</t>
  </si>
  <si>
    <t>Sixtoe</t>
  </si>
  <si>
    <t>System16, gamelist contributor</t>
  </si>
  <si>
    <t>Tomasz Slanina (Dox)</t>
  </si>
  <si>
    <t>Sergey Svishchev</t>
  </si>
  <si>
    <t>darreno@onestepsystems.com</t>
  </si>
  <si>
    <t>tslanina@gmail.com, tslanina@op.pl, tslanina@poczta.fm, dox@mirage.com.pl</t>
  </si>
  <si>
    <t>1 driver + 1 shared</t>
  </si>
  <si>
    <t>Valerio Verrando</t>
  </si>
  <si>
    <t>v.verrando@mclink.it, valerio@verrando.com</t>
  </si>
  <si>
    <t>smf-</t>
  </si>
  <si>
    <t>Ville Laitinen</t>
  </si>
  <si>
    <t>ville@sms.fi</t>
  </si>
  <si>
    <t>Ville Linde</t>
  </si>
  <si>
    <t>linde@mbnet.fi</t>
  </si>
  <si>
    <t>wilbert@jdg.info</t>
  </si>
  <si>
    <t>Stephane Humbert</t>
  </si>
  <si>
    <t>Yasuhiro Ogawa</t>
  </si>
  <si>
    <t>yasuoga@abox3.so-net.ne.jp, yasuoga@tvt.ne.jp</t>
  </si>
  <si>
    <t>Yochizo</t>
  </si>
  <si>
    <t>yochizo@olive.freemail.ne.jp</t>
  </si>
  <si>
    <t>Dave Widel</t>
  </si>
  <si>
    <t>Stiletto</t>
  </si>
  <si>
    <t>Zsolt Vasvari</t>
  </si>
  <si>
    <t>zvasvari@gmail.com, Zsolt.Vasvari@ca.com, vaszs01@optonline.net</t>
  </si>
  <si>
    <t>system11b</t>
  </si>
  <si>
    <t>asked on IRC 2015-05-27 -- balrog</t>
  </si>
  <si>
    <t>David Caldwell</t>
  </si>
  <si>
    <t>david@porkrind.org</t>
  </si>
  <si>
    <t>Tarnyko</t>
  </si>
  <si>
    <t>ifdefs added - very minor</t>
  </si>
  <si>
    <t>tarnyko@tarnyko.net</t>
  </si>
  <si>
    <t>Ted Green</t>
  </si>
  <si>
    <t>Thomas Klausner</t>
  </si>
  <si>
    <t>NetBSD fixes (maintainer?)</t>
  </si>
  <si>
    <t>wiz@NetBSD.org</t>
  </si>
  <si>
    <t>Wiz</t>
  </si>
  <si>
    <t>Tomasz Slanina</t>
  </si>
  <si>
    <t>dox</t>
  </si>
  <si>
    <t>Vas Crabb</t>
  </si>
  <si>
    <t>David.Robertson19@btinternet.com (most recent), djrobertson@clara.co.uk, david@robertson4054.freeserve.co.uk, djrobertson38@hotmail.com</t>
  </si>
  <si>
    <t>yasuoga@abox3.so-net.ne.jp</t>
  </si>
  <si>
    <t>Yasu</t>
  </si>
  <si>
    <t>yz70s</t>
  </si>
  <si>
    <t>Samuele Zannoli</t>
  </si>
  <si>
    <t>yz</t>
  </si>
  <si>
    <t>Micko emailed, no response; balrog emailed 2015-05-26, hap called 2015-12-18, permission granted on list 2015-12-19</t>
  </si>
  <si>
    <t>Zoë Blade</t>
  </si>
  <si>
    <t>IMPORTANT</t>
  </si>
  <si>
    <t>Deunan Knute</t>
  </si>
  <si>
    <t>DICE Team</t>
  </si>
  <si>
    <t>sp_rinter@gmx.de, dirk@verwiebe.de</t>
  </si>
  <si>
    <t>3 drivers</t>
  </si>
  <si>
    <t>Ed Mueller</t>
  </si>
  <si>
    <t>dumper</t>
  </si>
  <si>
    <t>abcd efgh</t>
  </si>
  <si>
    <t>emailed - balrog 2015-05-26</t>
  </si>
  <si>
    <t>cix_999@yahoo.it</t>
  </si>
  <si>
    <t>YES</t>
  </si>
  <si>
    <t>aDG4W+qp0</t>
  </si>
  <si>
    <t>ANONYMOUS</t>
  </si>
  <si>
    <t>Edgardo E. Contini Salvan</t>
  </si>
  <si>
    <t>unable to locate email</t>
  </si>
  <si>
    <t>patch committed by Haze</t>
  </si>
  <si>
    <t>pag2806@iperbole.bologna.it not working, Edgardo Emanuele Contini Salvan, https://www.facebook.com/edgardo.contini ?, https://www.facebook.com/edgardo.contini.5 ?, unable to locate</t>
  </si>
  <si>
    <t>MED</t>
  </si>
  <si>
    <t>4ee7a57a71bb79186b35a47c6ddfaf2a1f9d5399</t>
  </si>
  <si>
    <t>ElSemi</t>
  </si>
  <si>
    <t>ajax16384</t>
  </si>
  <si>
    <t>h00ligan@mail.ru, http://forums.bannister.org/ubbthreads.php?ubb=showprofile&amp;User=4359, http://www.mameworld.info/ubbthreads/showprofile.php?Cat=&amp;User=10501, ajax16384@gmail.com</t>
  </si>
  <si>
    <t>67faaeb473f9a579796e2a1f23acdfb515b22f81</t>
  </si>
  <si>
    <t>Aladar</t>
  </si>
  <si>
    <t>emailed - balrog 2015-05-30</t>
  </si>
  <si>
    <t>cicciopetito@alice.it, http://www.mameworld.info/ubbthreads/showprofile.php?Cat=&amp;User=20364 (??), misterx42@gmail.com (??)</t>
  </si>
  <si>
    <t>MIN</t>
  </si>
  <si>
    <t>8a8f56a9bd726a5e017d760a8ac822e8d40b38f7</t>
  </si>
  <si>
    <t>Enik Land</t>
  </si>
  <si>
    <t>Anders Hallström</t>
  </si>
  <si>
    <t>anders.hallstrom@bredband.net, http://www.mameworld.info/ubbthreads/showprofile.php?Cat=&amp;User=14946</t>
  </si>
  <si>
    <t>enikland@yahoo.com, http://www.mameworld.info/ubbthreads/showprofile.php?Cat=&amp;User=10478,  http://forums.bannister.org/ubbthreads.php?ubb=showprofile&amp;User=278 (??)</t>
  </si>
  <si>
    <t>Andrea Turci</t>
  </si>
  <si>
    <t>any@hippy.it</t>
  </si>
  <si>
    <t>Enrique Sanchez</t>
  </si>
  <si>
    <t>Andreas Singer</t>
  </si>
  <si>
    <t>drivers were rewritten</t>
  </si>
  <si>
    <t>asigner@gmail.com</t>
  </si>
  <si>
    <t>VMIN</t>
  </si>
  <si>
    <t>enrique.sanchez@us.es, enrique.sanchez@cs.us.es, sanch@fie.us.es is not working, too many people with this name. Universidad de Sevilla - https://www.linkedin.com/in/enrique-sánchez-b9273930 ? (probably not)</t>
  </si>
  <si>
    <t>Andy Welsh</t>
  </si>
  <si>
    <t>emailed - balrog 2015-05-28</t>
  </si>
  <si>
    <t>oboewan42@gmail.com</t>
  </si>
  <si>
    <t>emailed -- balrog 2015-05-26, reply received 2015-05-27</t>
  </si>
  <si>
    <t>sailorsat@t-online.de</t>
  </si>
  <si>
    <t>SailorSat</t>
  </si>
  <si>
    <t>MINOR</t>
  </si>
  <si>
    <t>emailed -- balrog 2015-05-27, replied 2015-05-30</t>
  </si>
  <si>
    <t>eric@brouhaha.com, spacewar@gmail.com</t>
  </si>
  <si>
    <t>Artemio Urbina</t>
  </si>
  <si>
    <t>1 device + shared drivers</t>
  </si>
  <si>
    <t>dumper only?</t>
  </si>
  <si>
    <t>junkerhq@gmail.com, aurbina@junkerhq.net, junkerhq.net, policenauts.net, sdatcher.net, https://twitter.com/JunkerHQNet, http://www.mameworld.info/ubbthreads/showprofile.php?Cat=&amp;User=16196</t>
  </si>
  <si>
    <t>Arthur Peale</t>
  </si>
  <si>
    <t>ArthurPeale@gmail.com, apeale69@hotmail.com, http://www.mameworld.info/ubbthreads/showprofile.php?Cat=&amp;User=1930</t>
  </si>
  <si>
    <t>Peale</t>
  </si>
  <si>
    <t>emailed - balrog 2015-05-28, replied 2015-09-19</t>
  </si>
  <si>
    <t>atariace@hotmail.com, http://forums.bannister.org/ubbthreads.php?ubb=showprofile&amp;User=5912, http://www.mameworld.info/ubbthreads/showprofile.php?Cat=&amp;User=4050</t>
  </si>
  <si>
    <t>super.chackn@gmail.com</t>
  </si>
  <si>
    <t>REMOVED 2015-06-04</t>
  </si>
  <si>
    <t>Barry Harris</t>
  </si>
  <si>
    <t>Eugene Sandulenko</t>
  </si>
  <si>
    <t>emailed - balrog 2015-05-30, replied same day</t>
  </si>
  <si>
    <t>ckirmse@pobox.com</t>
  </si>
  <si>
    <t>barry@barryharris.me.uk</t>
  </si>
  <si>
    <t>MAME32 port</t>
  </si>
  <si>
    <t>2cb15a90471638124699aada3beaa52610f7eb0a</t>
  </si>
  <si>
    <t>dave@dribin.org / dave-ml@dribin.org , https://twitter.com/ddribin</t>
  </si>
  <si>
    <t>Cah4e3</t>
  </si>
  <si>
    <t>MAME OS X port</t>
  </si>
  <si>
    <t>Gerald Coy</t>
  </si>
  <si>
    <t>gerald.coy@skynet.be</t>
  </si>
  <si>
    <t>COY, Gerald Vanderick</t>
  </si>
  <si>
    <t>cesare.falco@gmail.com</t>
  </si>
  <si>
    <t>ianpatt@gmail.com, ianpatt@pacbell.net, ipatters@mines.edu, http://www.mameworld.info/ubbthreads/showprofile.php?Cat=&amp;User=67</t>
  </si>
  <si>
    <t>Ubuntu maint.</t>
  </si>
  <si>
    <t>.</t>
  </si>
  <si>
    <t>Christophe Jaillet</t>
  </si>
  <si>
    <t>xevious@visi.com, xevious@holonet.net</t>
  </si>
  <si>
    <t>Some ports</t>
  </si>
  <si>
    <t>christophe.jaillet@wanadoo.fr</t>
  </si>
  <si>
    <t>Jim Hernandez</t>
  </si>
  <si>
    <t>Christopher Bachmann</t>
  </si>
  <si>
    <t>samples, gamelists, dumper</t>
  </si>
  <si>
    <t>emailed - balrog 2015-05-28, replied 2015-05-31</t>
  </si>
  <si>
    <t>John Hardy IV</t>
  </si>
  <si>
    <t>c-bachmann@angamllc.com</t>
  </si>
  <si>
    <t>MAMEUI port</t>
  </si>
  <si>
    <t>dumper?</t>
  </si>
  <si>
    <t>emailed - balrog 2015-05-30, replied 2015-06-08</t>
  </si>
  <si>
    <t>emailed -- balrog 2015-05-25 -- replied 2015-05-26</t>
  </si>
  <si>
    <t>corrado.to@tiscali.it, kld666@hotmail.com, toma.co@tin.it, http://www.mameworld.info/ubbthreads/showprofile.php?Cat=&amp;User=735</t>
  </si>
  <si>
    <t>Kold666</t>
  </si>
  <si>
    <t>D?</t>
  </si>
  <si>
    <t>Minor contribs</t>
  </si>
  <si>
    <t>Creamymami</t>
  </si>
  <si>
    <t>submitted by lanewu</t>
  </si>
  <si>
    <t>gridle@gmail.com</t>
  </si>
  <si>
    <t>Cs9ph7Rg0</t>
  </si>
  <si>
    <t>Fabrice Frances</t>
  </si>
  <si>
    <t>patch committed by Yasuhiro Ogawa</t>
  </si>
  <si>
    <t>emailed -- balrog 2015-05-27 -- replied 2015-05-28</t>
  </si>
  <si>
    <t>37fb90e8eb2c90e268386e74587f40ec33cd4aff</t>
  </si>
  <si>
    <t>frances@ensica.fr (not working), Fabrice.Frances@isae.fr</t>
  </si>
  <si>
    <t>emailed - balrog 2015-06-08</t>
  </si>
  <si>
    <t>Darksoft</t>
  </si>
  <si>
    <t>gef05777@nifty.com, nishi@ise.eng.osaka-u.ac.jp</t>
  </si>
  <si>
    <t>CPS Shock team, http://www.mameworld.info/ubbthreads/showprofile.php?Cat=&amp;User=19438, pablofg@yahoo.com, http://64darksoft.blogspot.com/</t>
  </si>
  <si>
    <t>PC8801 drivers</t>
  </si>
  <si>
    <t>b57c1d80f0ae316eee7c7d280257e5eea66d970e, 1443aaf7739de3fc73d05503191bbb662ccd76ac</t>
  </si>
  <si>
    <t>Dave</t>
  </si>
  <si>
    <t>Fujix</t>
  </si>
  <si>
    <t>Dayvee / FinalDave</t>
  </si>
  <si>
    <t>MAMETesters</t>
  </si>
  <si>
    <t>OG asked on twitter, OK - 2015-05-27. emailed -- balrog 2015-05-27</t>
  </si>
  <si>
    <t>emudave@gmail.com, http://finaldave.com/? - dave@finalburn.com, dev@finalburn.com, dayvee@larry.ztnet.com, finalburn.com-dev@finalburn.com, dayvee@rocketmail.com (old) - Final Burn, DTMNT - http://www.retrogames.com/cgi-bin/wwwthreads/showprofile.pl?User=finaldave&amp;Number=3705</t>
  </si>
  <si>
    <t>farfetchd@libero.it (dead), rasky@develer.com</t>
  </si>
  <si>
    <t>FinalDave, Dayvee</t>
  </si>
  <si>
    <t>0ad10db25d332ac3105b4511a4f5417ff26fc578</t>
  </si>
  <si>
    <t>Dean London</t>
  </si>
  <si>
    <t>ask haze -- he says anonymous contributor, made-up name</t>
  </si>
  <si>
    <t>Makefile code, replaced by GENIE?</t>
  </si>
  <si>
    <t>Edward Swiftwood</t>
  </si>
  <si>
    <t>FraSher</t>
  </si>
  <si>
    <t>emailed -- balrog 2015-05-27, received 2015-05-28</t>
  </si>
  <si>
    <t>diplocations mainly</t>
  </si>
  <si>
    <t>rbarat77@gmail.com, rbarat@hotmail.com</t>
  </si>
  <si>
    <t>NekoEd, Minataku</t>
  </si>
  <si>
    <t>Eke-Eke</t>
  </si>
  <si>
    <t>??</t>
  </si>
  <si>
    <t>ekeeke31@gmail.com, eke_eke31@yahoo.fr, http://www.mameworld.info/ubbthreads/showprofile.php?Cat=&amp;User=12848, http://forums.bannister.org/ubbthreads.php?ubb=showprofile&amp;User=3938 (??)</t>
  </si>
  <si>
    <t>friol</t>
  </si>
  <si>
    <t>Endrift</t>
  </si>
  <si>
    <t>jeffrey@endrift.com, http://endrift.com, https://github.com/endrift</t>
  </si>
  <si>
    <t>f205v</t>
  </si>
  <si>
    <t>BSD3 (prefers GPL but no significant code contributions and said BSD3 is ok)</t>
  </si>
  <si>
    <t>f205v.f205v@gmail.com</t>
  </si>
  <si>
    <t>balrog emailed -- replied "OK" 2015-05-25</t>
  </si>
  <si>
    <t>gerco@ballintijn.com</t>
  </si>
  <si>
    <t>Firehawke</t>
  </si>
  <si>
    <t>emailed - balrog 2015-05-28, replied 2015-05-29</t>
  </si>
  <si>
    <t>firehawke@gmail.com</t>
  </si>
  <si>
    <t>web/ work</t>
  </si>
  <si>
    <t>Franklin Bowen</t>
  </si>
  <si>
    <t>emailed - balrog 2015-05-30, bounced</t>
  </si>
  <si>
    <t>Franklin@Bowen.net (dead), http://www.mameworld.info/ubbthreads/showprofile.php?Cat=&amp;User=12683</t>
  </si>
  <si>
    <t>Grazvydas Ignotas</t>
  </si>
  <si>
    <t>Gabriele Gorla</t>
  </si>
  <si>
    <t>emailed - balrog 2015-05-31</t>
  </si>
  <si>
    <t>gorlik@yahoo.com</t>
  </si>
  <si>
    <t>notasas@gmail.com, notasas@yahoo.com, http://notaz.gp2x.de/ (??), http://www.mameworld.info/ubbthreads/showprofile.php?Cat=&amp;User=10989</t>
  </si>
  <si>
    <t>Genesis Plus GX</t>
  </si>
  <si>
    <t>Eke-Eke? https://code.google.com/p/genplus-gx/</t>
  </si>
  <si>
    <t>MAJ (Jarek's FM code)</t>
  </si>
  <si>
    <t>86c919a2d760e4db2a946943ba9243b10fa23959, 3fd8c0941bbcebdc0dd4c4d2661190b4f8fe1f9b, 2a76fb52c6d5d3c3fa8dfc21d98fe2e299798601</t>
  </si>
  <si>
    <t>Eke-Eke, Nemesis</t>
  </si>
  <si>
    <t>Gilles Fétis</t>
  </si>
  <si>
    <t>gregf</t>
  </si>
  <si>
    <t>emailed -- balrog 2015-05-28 - relied on MW 2015-06-01</t>
  </si>
  <si>
    <t>emailed - balrog 2015-05-28, replied same day</t>
  </si>
  <si>
    <t>gregac5a@aol.com</t>
  </si>
  <si>
    <t>gilles504@gmail.com</t>
  </si>
  <si>
    <t>Giulio Montini</t>
  </si>
  <si>
    <t>Grull Osgo</t>
  </si>
  <si>
    <t>mamesick@libero.it</t>
  </si>
  <si>
    <t>Mamesick</t>
  </si>
  <si>
    <t>ask Roberto Fresca</t>
  </si>
  <si>
    <t>Real name OK</t>
  </si>
  <si>
    <t>emailed - balrog 2015-05-27</t>
  </si>
  <si>
    <t>driver work</t>
  </si>
  <si>
    <t>notaz</t>
  </si>
  <si>
    <t>Y</t>
  </si>
  <si>
    <t>Guy Hufkens</t>
  </si>
  <si>
    <t>(guy.hufkens@telenet.be - dead)</t>
  </si>
  <si>
    <t>VMIN (dips)</t>
  </si>
  <si>
    <t>1d26d347e154a278d5a6eec1d6faf6b17b81a180</t>
  </si>
  <si>
    <t>Hugh Allen</t>
  </si>
  <si>
    <t>Hans Ostermeyer</t>
  </si>
  <si>
    <t>hugh2@bigpond.net.au</t>
  </si>
  <si>
    <t>Hugh McLenaghan</t>
  </si>
  <si>
    <t>emailed - balrog 2015-05-29, replied same day</t>
  </si>
  <si>
    <t>Hans Andersson</t>
  </si>
  <si>
    <t>hughmcl@hotmail.com</t>
  </si>
  <si>
    <t>new dumps + patches</t>
  </si>
  <si>
    <t>JacKc</t>
  </si>
  <si>
    <t>asked on IRC -- Stiletto 2015-06-10</t>
  </si>
  <si>
    <t>Jason Eckhardt</t>
  </si>
  <si>
    <t>Code already has BSD3-compatible terms</t>
  </si>
  <si>
    <t>jle@rice.edu (dead), https://www.linkedin.com/profile/view?id=2644920, https://www.facebook.com/jason.eckhardt.7 (maybe)</t>
  </si>
  <si>
    <t>MAJ (i860)</t>
  </si>
  <si>
    <t>Hau</t>
  </si>
  <si>
    <t>John Vilk</t>
  </si>
  <si>
    <t>3 drivers + shared</t>
  </si>
  <si>
    <t>asked on IRC -- balrog 2015-05-28</t>
  </si>
  <si>
    <t>jvilk</t>
  </si>
  <si>
    <t>Johnboy</t>
  </si>
  <si>
    <t>emailed - balrog 2015-05-28, 2015-06-09, all eventually bounced</t>
  </si>
  <si>
    <t>do not care, GPL-2.0+</t>
  </si>
  <si>
    <t>johnboy@everymail.net? (jaybeewip@gawab.com, jaybeewip@yahoo.es, jb_rsf@yahoo.co.uk - bounces), http://forums.bannister.org/ubbthreads.php?ubb=showprofile&amp;User=5687 (??), http://www.mameworld.info/ubbthreads/showprofile.php?Cat=&amp;User=9694 (??)</t>
  </si>
  <si>
    <t>Johnboy, Manuel Carreras?</t>
  </si>
  <si>
    <t>Jörg Hartenberger</t>
  </si>
  <si>
    <t>joerg.hartenberger@gmx.at</t>
  </si>
  <si>
    <t>HIGHWAYMAN</t>
  </si>
  <si>
    <t>Josh W</t>
  </si>
  <si>
    <t>highwayman2000@yandex.com</t>
  </si>
  <si>
    <t>device info</t>
  </si>
  <si>
    <t>josh@joshw.info, http://www.mameworld.info/ubbthreads/showprofile.php?Cat=&amp;User=8942</t>
  </si>
  <si>
    <t>MIN (docs)</t>
  </si>
  <si>
    <t>a9562317fb7ec99b43259c65f33ca1fa3a4aeb1b</t>
  </si>
  <si>
    <t>JoshuaChang</t>
  </si>
  <si>
    <t>emailed - balrog 2015-05-30, replied 2015-05-31</t>
  </si>
  <si>
    <t>joshuachang2005@gmail.com</t>
  </si>
  <si>
    <t>Hiromitsu Shioya</t>
  </si>
  <si>
    <t>4380531fc8eb958cfbd4f684b6c5e8cbe66f86ae</t>
  </si>
  <si>
    <t>2 devices</t>
  </si>
  <si>
    <t>Justin de Vesine</t>
  </si>
  <si>
    <t>contacted on IRC -- 2015-06-07, replied next day</t>
  </si>
  <si>
    <t>devesine on irc</t>
  </si>
  <si>
    <t>MED (jsmess)</t>
  </si>
  <si>
    <t>jwdonal</t>
  </si>
  <si>
    <t>emailed - balrog 2015-06-07, replied immediately</t>
  </si>
  <si>
    <t>email sent -- balrog 2015-05-25, replied 2015-06-04</t>
  </si>
  <si>
    <t>jwdonal@opencores.org</t>
  </si>
  <si>
    <t>ht1848@yahoo.com, https://www.linkedin.com/pub/hobie-troxell/1/7a7/655</t>
  </si>
  <si>
    <t>kanikani</t>
  </si>
  <si>
    <t>. http://kani.ninpou.jp/, http://kani.blog.shinobi.jp/</t>
  </si>
  <si>
    <t>88dbbd8e4fe65f6123d80a3e695ad3e8e3b1595d, 0a1622187d7e7f4fc83262acb480ed39c199eb95</t>
  </si>
  <si>
    <t>Howie Cohen</t>
  </si>
  <si>
    <t>email sent -- balrog 2015-05-28</t>
  </si>
  <si>
    <t>howie@endor.org</t>
  </si>
  <si>
    <t>Kef Schecter</t>
  </si>
  <si>
    <t>furrykef@gmail.com</t>
  </si>
  <si>
    <t>a382e4ba08ddb2c3d176ad229a23fd1d4e20d5fd</t>
  </si>
  <si>
    <t>Kevin Eshbach</t>
  </si>
  <si>
    <t>one ultra minor diff, email sent by balrog</t>
  </si>
  <si>
    <t>keshbach@comcast.net</t>
  </si>
  <si>
    <t>Kevin Pickell</t>
  </si>
  <si>
    <t>mentioned okay with license change on reddit 2016-03-05</t>
  </si>
  <si>
    <t>KPexEA</t>
  </si>
  <si>
    <t>kingshriek</t>
  </si>
  <si>
    <t>kingshriek@yahoo.com, http://forums.bannister.org/ubbthreads.php?ubb=showprofile&amp;User=3640</t>
  </si>
  <si>
    <t>insideoutboy</t>
  </si>
  <si>
    <t>KO Myung-Hun</t>
  </si>
  <si>
    <t>email sent</t>
  </si>
  <si>
    <t>emailed - balrog 2015-05-26, replied 2015-05-31</t>
  </si>
  <si>
    <t>komh@chollian.net</t>
  </si>
  <si>
    <t>insideoutboy@hotmail.com (old, maybe dead e-mail), http://www.mameworld.info/ubbthreads/showprofile.php?Cat=&amp;User=66, http://www.ztnet.com/cgi-bin/wwwthreads/showprofile.pl?User=insideoutboy, http://www.geocities.com/redcorduroy (dead), location: Sydney, Australia?, http://www.reddit.com/user/InsideOutBoy (??)</t>
  </si>
  <si>
    <t>2 drivers + shared</t>
  </si>
  <si>
    <t>Lei Wu</t>
  </si>
  <si>
    <t>lanewu@hotmail.com</t>
  </si>
  <si>
    <t>Xing Xing</t>
  </si>
  <si>
    <t>emailed 2015-05-26, asked about BUT</t>
  </si>
  <si>
    <t>iq_132</t>
  </si>
  <si>
    <t>Logiqx</t>
  </si>
  <si>
    <t>emailed - Stiletto 2016-03-10, replied same day</t>
  </si>
  <si>
    <t>mike@logiqx.com</t>
  </si>
  <si>
    <t>Mike George</t>
  </si>
  <si>
    <t>MIN?</t>
  </si>
  <si>
    <t>Lord-Data</t>
  </si>
  <si>
    <t>m.saunders@damstra.com.au</t>
  </si>
  <si>
    <t>email sent -- balrog -- replied 2015-05-26</t>
  </si>
  <si>
    <t>ivan.vangelista@fastwebnet.it</t>
  </si>
  <si>
    <t xml:space="preserve"> </t>
  </si>
  <si>
    <t>luigi30@gmail.com</t>
  </si>
  <si>
    <t>Luigi30</t>
  </si>
  <si>
    <t>Luis Faria</t>
  </si>
  <si>
    <t>emailed - balrog 2015-05-26, reply received 2015-05-28</t>
  </si>
  <si>
    <t>luis.faria@gmail.com</t>
  </si>
  <si>
    <t>ben</t>
  </si>
  <si>
    <t>M. Burke</t>
  </si>
  <si>
    <t>bradman</t>
  </si>
  <si>
    <t>M.A.S.H</t>
  </si>
  <si>
    <t>nontrivial changes to bagman.c for emulating the speech and protection pal</t>
  </si>
  <si>
    <t>cdh</t>
  </si>
  <si>
    <t>mameinfo@ewetel.net</t>
  </si>
  <si>
    <t>various minor contribs</t>
  </si>
  <si>
    <t>http://forums.bannister.org/ubbthreads.php?ubb=showprofile&amp;User=230 (though not active for a long time), chowell2@pacbell.net, colin.d.howell@gmail.com, http://www.mameworld.info/ubbthreads/showprofile.php?Cat=&amp;User=14415, http://www.ztnet.com/cgi-bin/wwwthreads/showprofile.pl?User=chowell2</t>
  </si>
  <si>
    <t>Jarek Parchanski</t>
  </si>
  <si>
    <t>Malice</t>
  </si>
  <si>
    <t>jab98@gci.net, http://www.mameworld.info/ubbthreads/showprofile.php?Cat=&amp;User=837, http://forums.bannister.org/ubbthreads.php?ubb=showprofile&amp;User=81</t>
  </si>
  <si>
    <t>MarathonMan</t>
  </si>
  <si>
    <t>asked on IRC -- balrog 2015-05-27</t>
  </si>
  <si>
    <t>djr</t>
  </si>
  <si>
    <t>David Robertson</t>
  </si>
  <si>
    <t>mips3drc</t>
  </si>
  <si>
    <t>David.Robertson19@btinternet.com, david@robertson4054.freeserve.co.uk, djrobertson38@hotmail.com</t>
  </si>
  <si>
    <t>fmp</t>
  </si>
  <si>
    <t>Marcus Comstedt</t>
  </si>
  <si>
    <t>marcus@mc.pp.se</t>
  </si>
  <si>
    <t>Jason Lo</t>
  </si>
  <si>
    <t>gargamel</t>
  </si>
  <si>
    <t>Tomas Karlsson</t>
  </si>
  <si>
    <t>Matt Ownby</t>
  </si>
  <si>
    <t>finalburnff@yahoo.co.uk</t>
  </si>
  <si>
    <t>original segas32 author (may be completely rewritten by now)</t>
  </si>
  <si>
    <t>BSD</t>
  </si>
  <si>
    <t>sent request over LinkedIn; balrog emailed 2015-05-26 - code rewritten by duke</t>
  </si>
  <si>
    <t>asked on IRC - Matt_O1 on Freenode</t>
  </si>
  <si>
    <t>matt.ownby@gmail.com</t>
  </si>
  <si>
    <t>gargamel.se@gmail.com, http://forums.bannister.org/ubbthreads.php?ubb=showprofile&amp;User=199, http://forums.bannister.org/ubbthreads.php?ubb=showprofile&amp;User=3476 (??)</t>
  </si>
  <si>
    <t>adaaf55595375b2f67080e783f6cafdc62e9602e</t>
  </si>
  <si>
    <t>Gargamel</t>
  </si>
  <si>
    <t>mellery</t>
  </si>
  <si>
    <t>mellery@gmail.com</t>
  </si>
  <si>
    <t>Jason Nelson</t>
  </si>
  <si>
    <t>Mike</t>
  </si>
  <si>
    <t>hans</t>
  </si>
  <si>
    <t>Hans de Goede</t>
  </si>
  <si>
    <t>emailed 2015-05-28 - balrog, reply received 2015-05-29</t>
  </si>
  <si>
    <t>emailed - balrog 2015-05-26 - replied same day</t>
  </si>
  <si>
    <t>jwrdegoede@fedoraproject.org</t>
  </si>
  <si>
    <t>mrdo@outlook.com</t>
  </si>
  <si>
    <t>hjb</t>
  </si>
  <si>
    <t>Juergen Buchmueller</t>
  </si>
  <si>
    <t>jason_nelson@email.msn.com (dead e-mail)</t>
  </si>
  <si>
    <t>pullmoll, jbu</t>
  </si>
  <si>
    <t>Nach</t>
  </si>
  <si>
    <t>hobie</t>
  </si>
  <si>
    <t>Strongly prefers GPLv2-only, OK with GPLv2+ in this instance</t>
  </si>
  <si>
    <t>Nach on Freenode IRC</t>
  </si>
  <si>
    <t>cx4 cpu core</t>
  </si>
  <si>
    <t>howie</t>
  </si>
  <si>
    <t>howie@endor.org (works)</t>
  </si>
  <si>
    <t>Nigel Barnes</t>
  </si>
  <si>
    <t>nintendo VS driver, looks like rewritten since then?</t>
  </si>
  <si>
    <t>imk</t>
  </si>
  <si>
    <t>Ian Knowles</t>
  </si>
  <si>
    <t>ngbarnes@hotmail.com</t>
  </si>
  <si>
    <t>mesaged via bannister and eBay - balrog 2015-05-29, replied 2015-07-28</t>
  </si>
  <si>
    <t>discord_snap@yahoo.co.uk (dead), 0discord on ebay, http://forums.bannister.org/ubbthreads.php?ubb=showprofile&amp;User=206</t>
  </si>
  <si>
    <t>softlist updates only</t>
  </si>
  <si>
    <t>nuapete</t>
  </si>
  <si>
    <t>jezze@gmx.net</t>
  </si>
  <si>
    <t>shader additions</t>
  </si>
  <si>
    <t>kevt</t>
  </si>
  <si>
    <t>Kevin Thacker</t>
  </si>
  <si>
    <t>l_g</t>
  </si>
  <si>
    <t>he did xmame and xmess, contributions where xmess code was in svn</t>
  </si>
  <si>
    <t>lcd</t>
  </si>
  <si>
    <t>emailed - balrog 2015-05-29, replied 2015-05-30</t>
  </si>
  <si>
    <t>nuapete@hotmail.com</t>
  </si>
  <si>
    <t>3 minor commits</t>
  </si>
  <si>
    <t>minor fixes to dealer/revenger</t>
  </si>
  <si>
    <t>lpopman</t>
  </si>
  <si>
    <t>JJ Stacino</t>
  </si>
  <si>
    <t>MLR</t>
  </si>
  <si>
    <t>Octocontrabass</t>
  </si>
  <si>
    <t>emailed - balrog 2015-05-27 - replied same day</t>
  </si>
  <si>
    <t>joe.derpa@gmail.com</t>
  </si>
  <si>
    <t>minor contrib, commit by etabeta</t>
  </si>
  <si>
    <t>John Bugliarisi</t>
  </si>
  <si>
    <t>emailed -- balrog -- 2015-05-28, replied 2015-05-29</t>
  </si>
  <si>
    <t>john@bugliarisi.com</t>
  </si>
  <si>
    <t>rbv</t>
  </si>
  <si>
    <t>Paul Hagstrom</t>
  </si>
  <si>
    <t>bluepenguin@gmail.com, https://www.facebook.com/ricbit, https://twitter.com/ricbit, http://blog.ricbit.com/, https://www.linkedin.com/pub/ricardo-bittencourt/5/392/423, https://plus.google.com/+RicardoBittencourt/posts, ricbit@zaz.com.br (old)</t>
  </si>
  <si>
    <t>emailed - balrog 2015-05-26 - got reply 2015-05-27</t>
  </si>
  <si>
    <t>driver rewritten by Zsolt and Aaron</t>
  </si>
  <si>
    <t>hagstrom@bu.edu</t>
  </si>
  <si>
    <t>1 minor commit - https://github.com/mamedev/mess-cvs/commit/fe4f5d33bbe60051a1826ad57bf6d9c5656ffb4a</t>
  </si>
  <si>
    <t>apple floppy work</t>
  </si>
  <si>
    <t>ricbit</t>
  </si>
  <si>
    <t>rnabet</t>
  </si>
  <si>
    <t>jcbutler@pobox.com (2002), jcbutler@worldnet.att.net</t>
  </si>
  <si>
    <t>qmc2</t>
  </si>
  <si>
    <t>sean</t>
  </si>
  <si>
    <t>rene.reucher@batcom-it.net, renereucher@gmail.com, http://forums.bannister.org/ubbthreads.php?ubb=showprofile&amp;User=4243, http://qmc2.arcadehits.net/wordpress/ , http://sourceforge.net/u/renereucher/profile/</t>
  </si>
  <si>
    <t>René Reucher</t>
  </si>
  <si>
    <t>many fixes</t>
  </si>
  <si>
    <t>Rainer Keuchel</t>
  </si>
  <si>
    <t>keuchel@rainer-keuchel.de, http://www.rainer-keuchel.de/, https://www.linkedin.com/pub/rainer-keuchel/15/8ab/888</t>
  </si>
  <si>
    <t>John Clegg</t>
  </si>
  <si>
    <t>RansAckeR</t>
  </si>
  <si>
    <t>dumper/helper</t>
  </si>
  <si>
    <t>snax</t>
  </si>
  <si>
    <t>cannot find email anywhere - john.clegg@nailsea.net maybe?, https://www.facebook.com/johnnyclegg  maybe?</t>
  </si>
  <si>
    <t>Lee Hammerton</t>
  </si>
  <si>
    <t>2 drivers shared</t>
  </si>
  <si>
    <t>BobZ?</t>
  </si>
  <si>
    <t>1 minor commit - fix to snes driver that is no longer present</t>
  </si>
  <si>
    <t>bobz@caramail.com, http://www.mameworld.info/ubbthreads/showprofile.php?Cat=&amp;User=11265, http://forums.bannister.org/ubbthreads.php?ubb=showprofile&amp;User=290</t>
  </si>
  <si>
    <t>Savoury Snax</t>
  </si>
  <si>
    <t>ransacker@gmail.com, ransacker@hotmail.com, http://forums.bannister.org/ubbthreads.php?ubb=showprofile&amp;User=446, http://www.mameworld.info/ubbthreads/showprofile.php?Cat=&amp;User=5098</t>
  </si>
  <si>
    <t>BobZ</t>
  </si>
  <si>
    <t>tdr</t>
  </si>
  <si>
    <t>?????</t>
  </si>
  <si>
    <t>messaged on bannister</t>
  </si>
  <si>
    <t>tkc</t>
  </si>
  <si>
    <t>Richard Goedeken</t>
  </si>
  <si>
    <t>incorrectly credited as "Joe Sturm" in some logs</t>
  </si>
  <si>
    <t>emailed - balrog 2015-05-27, replied 2016-06-02</t>
  </si>
  <si>
    <t>Richard@fascinationsoftware.com</t>
  </si>
  <si>
    <t>multiple contributions of new functionality</t>
  </si>
  <si>
    <t>Fredric QJ Blåholtz</t>
  </si>
  <si>
    <t>e5frog@gmail.com, https://www.facebook.com/people/Fredric-QJ-Bl%C3%A5holtz/625138203?fref=nf</t>
  </si>
  <si>
    <t>Heretical_One</t>
  </si>
  <si>
    <t>Robert Bohms</t>
  </si>
  <si>
    <t>Jonathan Edwards</t>
  </si>
  <si>
    <t>robbohms@comcast.net</t>
  </si>
  <si>
    <t>1 driver + devices</t>
  </si>
  <si>
    <t>tyr</t>
  </si>
  <si>
    <t>emailed 2015-05-28 - balrog -- replied immediately</t>
  </si>
  <si>
    <t>Robert Tuccitto</t>
  </si>
  <si>
    <t>tyranid@gmail.com, tiraniddo@hotmail.com, tyranid@totalise.co.uk</t>
  </si>
  <si>
    <t>TyRaNiD</t>
  </si>
  <si>
    <t>MAMEPlus Team</t>
  </si>
  <si>
    <t>emailed - balrog 2015-05-28, he sent in licensing changes already, replied to email immediately</t>
  </si>
  <si>
    <t>UPS</t>
  </si>
  <si>
    <t>robert_tuccitto@hotmail.com</t>
  </si>
  <si>
    <t>. http://sourceforge.net/projects/mameplus/ (but this isn't the old team)</t>
  </si>
  <si>
    <t>MJSTY</t>
  </si>
  <si>
    <t>responded to Stiletto via forums.bannister.org PM</t>
  </si>
  <si>
    <t>robert_s</t>
  </si>
  <si>
    <t>. http://forums.bannister.org/ubbthreads.php?ubb=showprofile&amp;User=2, http://forums.marpirc.net/memberlist.php?mode=viewprofile&amp;u=109</t>
  </si>
  <si>
    <t>no need to email</t>
  </si>
  <si>
    <t>robert_s@gmx.net</t>
  </si>
  <si>
    <t>Robert Schlabbach?</t>
  </si>
  <si>
    <t>VMIN,NN</t>
  </si>
  <si>
    <t>Pugsy</t>
  </si>
  <si>
    <t>S. Smith</t>
  </si>
  <si>
    <t>ask haze</t>
  </si>
  <si>
    <t>pugsy@gmx.net</t>
  </si>
  <si>
    <t>Joseba Epalza</t>
  </si>
  <si>
    <t>Ralf Schaefer</t>
  </si>
  <si>
    <t>Sebastien Chevalier</t>
  </si>
  <si>
    <t>ralf@schaefer-mk.de</t>
  </si>
  <si>
    <t>sebastien.chevalier@gmx.net</t>
  </si>
  <si>
    <t>SGINut</t>
  </si>
  <si>
    <t>MooglyGuy</t>
  </si>
  <si>
    <t>ranger_lennier</t>
  </si>
  <si>
    <t>http://www.mameworld.info/ubbthreads/showprofile.php?Cat=&amp;User=5360. http://forums.bannister.org/ubbthreads.php?ubb=showprofile&amp;User=439, lennier_of_the_minbari@yahoo.com, pauljthacker@gmail.com (good)</t>
  </si>
  <si>
    <t>Ryan Holtz, Just Desserts, Harmony</t>
  </si>
  <si>
    <t>Joseph Zbiciak</t>
  </si>
  <si>
    <t>rhester72</t>
  </si>
  <si>
    <t>shattered</t>
  </si>
  <si>
    <t>rhester72@gmail.com, https://github.com/rhester72, rhester@multics.dynalias.com, http://www.mameworld.info/ubbthreads/showprofile.php?Cat=&amp;User=9676, http://forums.bannister.org/ubbthreads.php?ubb=showprofile&amp;User=4720</t>
  </si>
  <si>
    <t>external (was GPL-2.0+ but Micko asked for a more permissive license 2016-03-24)</t>
  </si>
  <si>
    <t>Sven Gothel</t>
  </si>
  <si>
    <t>ShimaPong</t>
  </si>
  <si>
    <t>sgothel@jausoft.com, https://github.com/sgothel/, http://forums.bannister.org/ubbthreads.php?ubb=showprofile&amp;User=2196</t>
  </si>
  <si>
    <t>emailed - balrog 2015-05-29</t>
  </si>
  <si>
    <t>katuhiko@dc4.so-net.ne.jp, http://www.mameworld.info/ubbthreads/showprofile.php?Cat=&amp;User=5098</t>
  </si>
  <si>
    <t>telengard</t>
  </si>
  <si>
    <t>overhauled cheat system, other fixes</t>
  </si>
  <si>
    <t>Brian Sturk</t>
  </si>
  <si>
    <t>bsturk@comcast.net, bsturk@adelphia,net, http://www.mameworld.info/ubbthreads/showprofile.php?Cat=&amp;User=3742, http://forums.bannister.org/ubbthreads.php?ubb=showprofile&amp;User=1496, https://twitter.com/telengard</t>
  </si>
  <si>
    <t>Stefan Uhlmann</t>
  </si>
  <si>
    <t>Yano Hirokuni</t>
  </si>
  <si>
    <t>BSD3, GPL-2.0+</t>
  </si>
  <si>
    <t>hyano@ya-no.com?</t>
  </si>
  <si>
    <t>mail@stefan-uhlmann.de, http://www.stefan-uhlmann.de/</t>
  </si>
  <si>
    <t>Steve Lilley-Hopkins</t>
  </si>
  <si>
    <t>Minwah</t>
  </si>
  <si>
    <t>emailed - balrog 2015-05-29 - replied same day</t>
  </si>
  <si>
    <t>minwah1959@hotmail.com</t>
  </si>
  <si>
    <t>kaneko16 fixes</t>
  </si>
  <si>
    <t>stiletto@fastmail.fm</t>
  </si>
  <si>
    <t>T.Bellm</t>
  </si>
  <si>
    <t>emailed - balrog 2015-05-30, replied 2015-06-01</t>
  </si>
  <si>
    <t>tbellm@arcor.de</t>
  </si>
  <si>
    <t>a113e24a9490aa0faaa2be4378d00928cd1d859c</t>
  </si>
  <si>
    <t>Tauwasser</t>
  </si>
  <si>
    <t>emailed -- balrog</t>
  </si>
  <si>
    <t>Warren Ondras</t>
  </si>
  <si>
    <t>warren@hemlockhouse.net, warren@dragons-lair-project.net</t>
  </si>
  <si>
    <t>Cube Quest</t>
  </si>
  <si>
    <t>284b5a0d95c4740b25fd1d06aecd2cc74eae12f3</t>
  </si>
  <si>
    <t>Wind</t>
  </si>
  <si>
    <t>demulwind@mail.ru, http://www.mameworld.info/ubbthreads/showprofile.php?Cat=&amp;User=15688, http://forums.bannister.org/ubbthreads.php?ubb=showprofile&amp;User=6346</t>
  </si>
  <si>
    <t>mame/commit/5f07384209f0fd15b3fc616e0ab64d1c6c0d2edb</t>
  </si>
  <si>
    <t>Xander</t>
  </si>
  <si>
    <t>xander85@operamail.com (dead), rsrtheboss@gmail.com (him?)</t>
  </si>
  <si>
    <t>Xander85?, Alexander</t>
  </si>
  <si>
    <t>Karl-Ludwig Deisenhofer</t>
  </si>
  <si>
    <t>aka Bavarese</t>
  </si>
  <si>
    <t>Katelyn Gadd</t>
  </si>
  <si>
    <t>K.Wilkins</t>
  </si>
  <si>
    <t>emailed -- balrog -- got reply 2015-05-25</t>
  </si>
  <si>
    <t>mame@esplexo.co.uk (2004); still owns that domain! -- balrog emailed</t>
  </si>
  <si>
    <t>2 drivers + discrete sound system</t>
  </si>
  <si>
    <t>Kenneth Lin</t>
  </si>
  <si>
    <t>driver have been rewritten by Curt Coder</t>
  </si>
  <si>
    <t>kenneth_lin@ai.vancouver.bc.ca is not working, cannot locate email - https://www.linkedin.com/pub/ken-lin/94/8a0/b7a - K Lin, 8418, Vancouver BC 12345 CA, +1.6047239697, +1.92614695, dnws282kmhs@kamehouse.com, kamehouse.com</t>
  </si>
  <si>
    <t>emailed -- balrog -- 2015-05-26 - replied same day</t>
  </si>
  <si>
    <t>contributions to jedutil, other minor contribs</t>
  </si>
  <si>
    <t>Kevin Horton</t>
  </si>
  <si>
    <t>emailed -- balrog -- 2015-05-26</t>
  </si>
  <si>
    <t>kingshriek@yahoo.com, http://forums.bannister.org/ubbthreads.php?ubb=showprofile&amp;User=3640, http://www.mameworld.info/ubbthreads/showprofile.php?Cat=&amp;User=21004, https://www.facebook.com/king.shriek (him? not him?), https://www.twitter.com/kingshriek</t>
  </si>
  <si>
    <t>1 device</t>
  </si>
  <si>
    <t>gold@xmission.com (latest), gold@aros.net, gold@shell.aros.net</t>
  </si>
  <si>
    <t>emailed -- balrog -- 2015-05-27, replied 2015-05-28</t>
  </si>
  <si>
    <t>savoury.snax@googlemail.com</t>
  </si>
  <si>
    <t>emailed -- balrog 2015-05-28, replied 2015-05-29</t>
  </si>
  <si>
    <t>darklpopman@hotmail.co.uk</t>
  </si>
  <si>
    <t>For Lee Ward (lee@the-mothership.fsnet.co.uk)  *If you know Lee, please contact us......</t>
  </si>
  <si>
    <t>Leland</t>
  </si>
  <si>
    <t>Luca Antignano</t>
  </si>
  <si>
    <t>email</t>
  </si>
  <si>
    <t>lucantignano@gmail.com</t>
  </si>
  <si>
    <t>crvision driver</t>
  </si>
  <si>
    <t>Lukasz Markowski</t>
  </si>
  <si>
    <t>matt@9track.net</t>
  </si>
  <si>
    <t>Manfred Schneider</t>
  </si>
  <si>
    <t>1 driver (documentation)</t>
  </si>
  <si>
    <t>Marc LaFontaine</t>
  </si>
  <si>
    <t>http://obits.dignitymemorial.com/dignity-memorial/obituary.aspx?n=Marc-Lafontaine&amp;lc=3783&amp;pid=171026434&amp;mid=5969419, marclaf@sympatico.ca</t>
  </si>
  <si>
    <t>Alt Name</t>
  </si>
  <si>
    <t>Andrew Church</t>
  </si>
  <si>
    <t>achurch@achurch.org, http://achurch.org, http://sourceforge.net/u/achurch/profile/</t>
  </si>
  <si>
    <t>Andrew Jenner</t>
  </si>
  <si>
    <t>andrew@reenigne.org, https://github.com/reenigne, http://www.reenigne.org</t>
  </si>
  <si>
    <t>reenigne</t>
  </si>
  <si>
    <t>arielseachild</t>
  </si>
  <si>
    <t>http://sourceforge.net/u/arielseachild/profile/, http://www.ebay.com/usr/arielseachild/, http://www.kompoz.com/music/artist/arielseachild/, http://www.last.fm/user/arielseachild, http://arielseachild.deviantart.com/, https://sites.google.com/site/arielseachild/, arielseachild@utah-inter.net (old?)</t>
  </si>
  <si>
    <t>Bob Dayley</t>
  </si>
  <si>
    <t>Arnaud G. Gibert</t>
  </si>
  <si>
    <t>arnaud@rx3.net, http://www.rx3.net/~agibert/, https://plus.google.com/+ArnaudGGIBERT/posts, http://forums.bannister.org/ubbthreads.php?ubb=showprofile&amp;User=4205</t>
  </si>
  <si>
    <t>Martin Buchholz</t>
  </si>
  <si>
    <t>Atilla Grosz</t>
  </si>
  <si>
    <t>gyros@freemail.hu, gaia@atilia.hu, http://gaia.atilia.eu/, http://ht.homeserver.hu/</t>
  </si>
  <si>
    <t>buchholz@mail.uni-greifswald.de and buchholz@rz.uni-greifswald.de not working, https://www.linkedin.com/profile/view?id=6467238, http://www.yatedo.fr/p/Martin+Buchholz/normal/4b6b6b0f87b5ee612c8a106d79540e76 maybe?</t>
  </si>
  <si>
    <t>Ben</t>
  </si>
  <si>
    <t>bobz</t>
  </si>
  <si>
    <t>Brandon Corey</t>
  </si>
  <si>
    <t>bcorey@blackboxcentral.com, https://www.linkedin.com/pub/brandon-corey/1/3ab/364</t>
  </si>
  <si>
    <t>Chad</t>
  </si>
  <si>
    <t>churritz@spamarrest.com, churritz@cts.com (old?), http://forums.bannister.org/ubbthreads.php?ubb=showprofile&amp;User=2047</t>
  </si>
  <si>
    <t>credited in MESS 0.144u3</t>
  </si>
  <si>
    <t>Skito, Chad Hurritz</t>
  </si>
  <si>
    <t>Christian Birchinger's friend</t>
  </si>
  <si>
    <t>ask Lawrence Gold? It's an XMAME/XMESS 0.96 fix. Birchinger = joker@gentoo.org, ask him?</t>
  </si>
  <si>
    <t>Matthew Conte</t>
  </si>
  <si>
    <t>from XMAME/XMESS 0.96 whatsnew: "The X11 build now properly sets the standard window properties."</t>
  </si>
  <si>
    <t>XMAME/XMESS, no longer in tree</t>
  </si>
  <si>
    <t>Claudio Castiglia</t>
  </si>
  <si>
    <t>https://github.com/cdio, cdio@kellasoftware.com, claudio@netifera.com (new?), https://www.linkedin.com/in/ccdio, ccastig@softhome.net (old)</t>
  </si>
  <si>
    <t>Claudio Nieder</t>
  </si>
  <si>
    <t>private@claudio.ch, http://claudio.ch/</t>
  </si>
  <si>
    <t>he added himself to existing license</t>
  </si>
  <si>
    <t>dannonew</t>
  </si>
  <si>
    <t>. http://forums.bannister.org/ubbthreads.php?ubb=showprofile&amp;User=179</t>
  </si>
  <si>
    <t>Dave Ahlswede</t>
  </si>
  <si>
    <t>mightyquinn@charter.net (old), mightyquinn@letterboxes.org (old?), https://launchpad.net/~mightyquinn, http://sourceforge.net/u/ahlswede/profile/</t>
  </si>
  <si>
    <t>Dr. Zer0</t>
  </si>
  <si>
    <t>Michael Luong</t>
  </si>
  <si>
    <t>drzero_blue@yahoo.com, http://www.drzero.org, http://www.mameworld.info/ubbthreads/showprofile.php?Cat=&amp;User=15463, http://forums.bannister.org/ubbthreads.php?ubb=showprofile&amp;User=605</t>
  </si>
  <si>
    <t>Dr. Zero</t>
  </si>
  <si>
    <t>Eric Ball</t>
  </si>
  <si>
    <t>ericball@atariage.com (old), http://atariage.com/forums/user/2222-ericball/, http://www.gamasutra.com/blogs/EricBall/952428/</t>
  </si>
  <si>
    <t>ichael@geocities.com (2001), michael.soderstrom@yahoo.com, Michael J. Soderstrom, http://www.city-data.com/aradio/lic-San-Leandro-California.html maybe?</t>
  </si>
  <si>
    <t>Giel van Schijndel</t>
  </si>
  <si>
    <t>me@mortis.eu, muggenhor@diasp.eu, https://twitter.com/muggenhor, https://diasp.eu/people/cd84b0606b8b0132052b5404a6b20780, https://github.com/muggenhor, https://www.linkedin.com/in/gielvanschijndel, http://mortis.eu</t>
  </si>
  <si>
    <t>muggenhor</t>
  </si>
  <si>
    <t>Gordon</t>
  </si>
  <si>
    <t>did some dumping, worked on sMESS</t>
  </si>
  <si>
    <t>gareth@maygay.co.uk, gareth@maygay.com, gatch@eleclns.demon.co.uk</t>
  </si>
  <si>
    <t>Gatch</t>
  </si>
  <si>
    <t>Jirou Kaneda</t>
  </si>
  <si>
    <t>Genesis drivers (2001)</t>
  </si>
  <si>
    <t>atarulum@yahoo.co.jp, ATARULUM@hitel.net (old), atarulum@kornet.net</t>
  </si>
  <si>
    <t>atarulum</t>
  </si>
  <si>
    <t>JMoya</t>
  </si>
  <si>
    <t>Jose Quinones</t>
  </si>
  <si>
    <t>Joe Quanaim</t>
  </si>
  <si>
    <t>JoseQ</t>
  </si>
  <si>
    <t>FTP host, old emu news guy</t>
  </si>
  <si>
    <t>http://ctrld.org/, jdq@lucent.com, jdq@alcatel-lucent.com</t>
  </si>
  <si>
    <t>Omar Cornut</t>
  </si>
  <si>
    <t>Joseph D Quanaim</t>
  </si>
  <si>
    <t>John Elliott</t>
  </si>
  <si>
    <t>omarcornut@gmail.com, cornut@noos.fr, cornut@capway.com, omar@miracleworld.net</t>
  </si>
  <si>
    <t>Bock, Zoop</t>
  </si>
  <si>
    <t>seasip.webmaster@gmail.com, http://www.seasip.info/. http://forums.bannister.org/ubbthreads.php?ubb=showprofile&amp;User=522</t>
  </si>
  <si>
    <t>John</t>
  </si>
  <si>
    <t>Keith Gerdes</t>
  </si>
  <si>
    <t>kwg@netzero.net, kwg@freebird.ghofn.org, kwg@softhome.net (old), k.gerdes@genie.com (really old), kgerdes@worldnet.att.net (old)</t>
  </si>
  <si>
    <t>emailed - Stiletto 2016-01-22, replied 2016-01-22</t>
  </si>
  <si>
    <t>home@bannister.org, mess@bannister.org, richard@bannister.org, richard@indigo.ie, titan@indigo.ie</t>
  </si>
  <si>
    <t>Kelby Murie</t>
  </si>
  <si>
    <t>emailed - balrog, 2015-06-11</t>
  </si>
  <si>
    <t>emailed -- balrog 2015-05-26 -- replied 2015-05-27 asking for more info, then agreed</t>
  </si>
  <si>
    <t>KMurie@leading.com.au (old, 2000), kelby_murie@hotmail.com (2004)</t>
  </si>
  <si>
    <t>Twitter @AppoloMike, mappolo@me.com</t>
  </si>
  <si>
    <t>Nathan Lineback</t>
  </si>
  <si>
    <t>emailed - balrog, 2015-06-11, replied same day</t>
  </si>
  <si>
    <t>lineback@toastytech.com, http://toastytech.com/</t>
  </si>
  <si>
    <t>Lineback</t>
  </si>
  <si>
    <t>Mike Frysinger</t>
  </si>
  <si>
    <t>vapier.adi@gmail.com, vapier@gentoo.org, http://www.mameworld.info/ubbthreads/showprofile.php?Cat=&amp;User=7931</t>
  </si>
  <si>
    <t>MJSTY, Mariano Saura (??)</t>
  </si>
  <si>
    <t>Nick Westgate</t>
  </si>
  <si>
    <t>nick.westgate@gmail.com, http://sourceforge.net/u/sicklittlemonky/profile/, http://stackoverflow.com/users/313445/nick-westgate, https://www.facebook.com/nick.westgate</t>
  </si>
  <si>
    <t>Paul "TBBle" Hampson</t>
  </si>
  <si>
    <t>TBBle</t>
  </si>
  <si>
    <t>Pierre Riteau</t>
  </si>
  <si>
    <t>emailed -- balrog 2015-05-29 -- replied same day</t>
  </si>
  <si>
    <t>priteau@gmail.com, https://github.com/priteau, http://forums.bannister.org/ubbthreads.php?ubb=showprofile&amp;User=4530</t>
  </si>
  <si>
    <t>mikedx@gmail.com</t>
  </si>
  <si>
    <t>Rob Bohms</t>
  </si>
  <si>
    <t>Ruslan Staritsin</t>
  </si>
  <si>
    <t>iptables@mail.ru, http://sourceforge.net/u/c00ker/profile/, http://forums.bannister.org/ubbthreads.php?ubb=showprofile&amp;User=434 (??)</t>
  </si>
  <si>
    <t>Shyouzou Sugitani</t>
  </si>
  <si>
    <t>http://shy.b.osdn.me/, shy@m3.catvmics.ne.jp, shy@users.sourceforge.jp, shy@trifle.nips.ac.jp, shy@debian.or.jp</t>
  </si>
  <si>
    <t>Steve Leung</t>
  </si>
  <si>
    <t>. http://forums.bannister.org/ubbthreads.php?ubb=showprofile&amp;User=1730</t>
  </si>
  <si>
    <t>Steve Scavone</t>
  </si>
  <si>
    <t>krunch@home.com (old, 2000)</t>
  </si>
  <si>
    <t>Krunch, Gorfian</t>
  </si>
  <si>
    <t>Sylvain Glaize</t>
  </si>
  <si>
    <t>mokona@puupuu.org, https://github.com/Mokona, http://www.puupuu.org, https://twitter.com/mokona34, https://www.linkedin.com/in/sylvainglaize</t>
  </si>
  <si>
    <t>Mokona</t>
  </si>
  <si>
    <t>Telengard</t>
  </si>
  <si>
    <t>Uli H.</t>
  </si>
  <si>
    <t>ask Lawrence Gold?</t>
  </si>
  <si>
    <t>mess-cvs/commit/aa2e7f29fcb7f4b160cf77224fc864569e8bb00b</t>
  </si>
  <si>
    <t>Yoann Courtois</t>
  </si>
  <si>
    <t>ycourtois@hotmail.com (old)</t>
  </si>
  <si>
    <t>Naibo Zhang</t>
  </si>
  <si>
    <t>099c4da655fcb2aa674c71d75a36025136397a58</t>
  </si>
  <si>
    <t>Papagayo (ex GMC/ex PARADOX)</t>
  </si>
  <si>
    <t>contacted by hap</t>
  </si>
  <si>
    <t>naibo_zhang@hotmail.com, http://www.mameworld.info/ubbthreads/showprofile.php?Cat=&amp;User=11761 (??), blueskyzh@gmail.com (??)</t>
  </si>
  <si>
    <t>emailed by Stiletto, replied 2020-04-09</t>
  </si>
  <si>
    <t>Niels Moeller</t>
  </si>
  <si>
    <t>nimitz</t>
  </si>
  <si>
    <t>heard from trap15</t>
  </si>
  <si>
    <t>1 device shared</t>
  </si>
  <si>
    <t>Norbert Kehrer</t>
  </si>
  <si>
    <t>GPL-2.0+  (but he have no code)</t>
  </si>
  <si>
    <t>Public Domain for mame_regtest</t>
  </si>
  <si>
    <t>Palindrome</t>
  </si>
  <si>
    <t>1 driver shared</t>
  </si>
  <si>
    <t>emailed -- Stiletto 2016-01-21, replied 2016-01-21</t>
  </si>
  <si>
    <t>pjl@patsoffice.com (current), https://www.linkedin.com/in/patrickjlawrence, plawrence@sac.verio.net (dead), pjl@ns.net (old?), pjlawrence@ucdavis.edu (old)</t>
  </si>
  <si>
    <t>Paul Daniels</t>
  </si>
  <si>
    <t>emailed -- Stiletto 2016-01-21, replied 2016-01-22</t>
  </si>
  <si>
    <t>paul.daniels40@yahoo.co.uk (current), paul@thewiz.freeserve.co.uk (dead)</t>
  </si>
  <si>
    <t>Paul Forgey</t>
  </si>
  <si>
    <t>emailed 2015-12-20, replied, followed up same day</t>
  </si>
  <si>
    <t>paulf@tessier-ashpool.net, https://www.linkedin.com/profile/view?id=79111929 (??)</t>
  </si>
  <si>
    <t>Paul Hampson</t>
  </si>
  <si>
    <t>"TBBle" - Paul.Hampson@Pobox.com</t>
  </si>
  <si>
    <t>paul@vortexcomputing.demon.co.uk (2004) (dead), paul_leaman@hotmail.com</t>
  </si>
  <si>
    <t>contributed code</t>
  </si>
  <si>
    <t>LAST SEEN 1998 - IMPORTANT</t>
  </si>
  <si>
    <t>Paul Swan</t>
  </si>
  <si>
    <t>Per Ola Ingvarsson</t>
  </si>
  <si>
    <t>emailed -- balrog 2015-05-25, balrog 2015-12-20, replied same day</t>
  </si>
  <si>
    <t>skrabban@gmail.com (believed)</t>
  </si>
  <si>
    <t>Peter Gutmann</t>
  </si>
  <si>
    <t>Peter J.C.Clare</t>
  </si>
  <si>
    <t>code is rewritten by hap</t>
  </si>
  <si>
    <t>clare@thorn-emi-crl.co.uk (old), pclare@sensaura.creative.com (old), pclare@sensaura.co.uk (old), pclare@crl.co.uk (old), https://www.flickr.com/photos/jontintinjordan/421373423/ (old), http://www.yatedo.fr/p/Peter+Clare/normal/095085f3689d9dd7bc784c3ea538afc9 (??), https://www.linkedin.com/pub/peter-clare/2/a50/671, http://www.mameworld.info/ubbthreads/showprofile.php?Cat=&amp;User=8237 (maybe?), admin@petejc.com (maybe?), http://www.geograph.org.uk/profile/40747</t>
  </si>
  <si>
    <t>pSXAuthor</t>
  </si>
  <si>
    <t>Good to go</t>
  </si>
  <si>
    <t>OK if no reply</t>
  </si>
  <si>
    <t>Uncertain whether contributed code</t>
  </si>
  <si>
    <t>Ultra ultra minor change, no need to email</t>
  </si>
  <si>
    <t>David Haynes</t>
  </si>
  <si>
    <t>Needs resolution</t>
  </si>
  <si>
    <t>not sure if any code in MAME but just in case, responded to Stiletto by email</t>
  </si>
  <si>
    <t>David.Haynes@bombjack.org</t>
  </si>
  <si>
    <t>Bombjack</t>
  </si>
  <si>
    <t>Not handled yet</t>
  </si>
  <si>
    <t>Dumper</t>
  </si>
  <si>
    <t>not sure if any code in MAME but just in case</t>
  </si>
  <si>
    <t>Not a code contributor</t>
  </si>
  <si>
    <t>Owen Rubin</t>
  </si>
  <si>
    <t>Contributed on someone else's behalf</t>
  </si>
  <si>
    <t>Email is bouncing</t>
  </si>
  <si>
    <t>not a code contributor</t>
  </si>
  <si>
    <t>emailed -- balrog 2015-12-20</t>
  </si>
  <si>
    <t>For sub lists:</t>
  </si>
  <si>
    <t>Shoegazer</t>
  </si>
  <si>
    <t>ralf@schaefer-mk.de, https://www.facebook.com/ralf.schafer.731, http://www.lehmimkeller.de, http://schaefer-mk.de, http://www.schachcomputer.info/forum/member.php?u=124, http://forums.bannister.org/ubbthreads.php?ubb=showprofile&amp;User=3683, Buchenäckerstraße 36 - 72459 Albstadt - Germany - Ph: +49 07435 91 00 00, ralf.schaefer@groz-beckert.com?, ralf.schafer@groz-beckert.com? - IP: 91.46.14.186 (2010 last login), username: vergie - Ralf Schaefer, Raiffeisenstrasse 6b, D-65191 Wiesbaden, GERMANY / Ralf Schaefer, Meissener Strasse 21, 65191 Wiesbaden, GERMANY - lazypics.de, ralf.beate@lazypics.de, http://www.spikechess.de</t>
  </si>
  <si>
    <t>On master list, not cleared yet</t>
  </si>
  <si>
    <t>Minor contributors</t>
  </si>
  <si>
    <t>early MAME32 maintainer</t>
  </si>
  <si>
    <t>emailed - balrog - 2015-05-26</t>
  </si>
  <si>
    <t>minor contributions, mostly docs</t>
  </si>
  <si>
    <t>Randy Mongenel</t>
  </si>
  <si>
    <t>asked on IRC -- balrog, replied immediately</t>
  </si>
  <si>
    <t>Duo on IRC, rownik@hotmail.com</t>
  </si>
  <si>
    <t>Roger Sanders</t>
  </si>
  <si>
    <t>Nemesis</t>
  </si>
  <si>
    <t>Sega related stuff</t>
  </si>
  <si>
    <t>nemesis1207@hotmail.com</t>
  </si>
  <si>
    <t>BSD3 for core + device and GPL-2.0+ for drivers</t>
  </si>
  <si>
    <t>'Re-Animator'</t>
  </si>
  <si>
    <t>Richard Davies</t>
  </si>
  <si>
    <t>emailed -- balrog 2015-05-29, bounced, emailed new email 2015-06-06, Stiletto emailed debaser address 2016-01-21, replied 2016-01-22</t>
  </si>
  <si>
    <t>richard@60hz.co.uk (current), richard@debaser.force9.co.uk (redirects to 60hz.co.uk?), R.Davies@dcs.hull.ac.uk (dead) (NOT richard.davies@elastichosts.com), Richard.Davies@hull.ac.uk (not him?), http://www2.hull.ac.uk/ifl/ces/staff/richard-davies.aspx (not him?), https://www.facebook.com/profile.php?id=100009650371693 (not him?), https://www.facebook.com/profile.php?id=769393008 (not him?)</t>
  </si>
  <si>
    <t>Rob Braun</t>
  </si>
  <si>
    <t>asked on IRC -- balrog</t>
  </si>
  <si>
    <t>Mac driver contributions</t>
  </si>
  <si>
    <t>Rob Rosenbrock</t>
  </si>
  <si>
    <t>emailed -- balrog 2015-06-06, replied same day</t>
  </si>
  <si>
    <t>bester@adamswells.com</t>
  </si>
  <si>
    <t>code done by Carlos and Phil</t>
  </si>
  <si>
    <t>Robert Justice</t>
  </si>
  <si>
    <t>Roberto Lavarone</t>
  </si>
  <si>
    <t>rol@libero.it</t>
  </si>
  <si>
    <t>Roberto Ventura</t>
  </si>
  <si>
    <t>rob.ventura@gmail.com</t>
  </si>
  <si>
    <t>rfries@aol.com, Ron.Fries@emerson.com</t>
  </si>
  <si>
    <t>Sal Bugliarisi</t>
  </si>
  <si>
    <t>email received from balrog -- 2015-05-29</t>
  </si>
  <si>
    <t>sal@bugliarisi.com</t>
  </si>
  <si>
    <t>Sam Lantinga</t>
  </si>
  <si>
    <t>Sean Riddle</t>
  </si>
  <si>
    <t>Sebastien Monassa</t>
  </si>
  <si>
    <t>loneseb@free.fr (2013)</t>
  </si>
  <si>
    <t>Segher Boessenkool</t>
  </si>
  <si>
    <t>segher@kernel.crashing.org</t>
  </si>
  <si>
    <t>only src/drivers/triforce.cpp code is relicensed</t>
  </si>
  <si>
    <t>emailed - balrog 2015-06-08 code rewritten by Kale</t>
  </si>
  <si>
    <t>gef05777@nifty.com (last used), nishi@ise.eng.osaka-u.ac.jp, http://www-ise1.ise.eng.osaka-u.ac.jp/nishi</t>
  </si>
  <si>
    <t>LAST SEEN 15.09.2008  - goodbye message</t>
  </si>
  <si>
    <t>BSD3 + GPL-2.0+</t>
  </si>
  <si>
    <t>aka Stephh</t>
  </si>
  <si>
    <t>emailed -- Stiletto -- replied - 2016-01-21</t>
  </si>
  <si>
    <t>sjbaines@gmail.com (current), steve@astrofish.com (current), http://www.astrofish.com (current), https://www.linkedin.com/in/sjbaines (current), s.j.baines@nortel.co.uk (BAD), Steve J. Baines, sulaco@ntlworld.com (old)</t>
  </si>
  <si>
    <t>Steven Frew</t>
  </si>
  <si>
    <t>http://www.elitecoder.com/bionic/emu.html</t>
  </si>
  <si>
    <t>no need, he allowed his code to be rewritten for MAME</t>
  </si>
  <si>
    <t>mokona@puupuu.org</t>
  </si>
  <si>
    <t>Takeda Toshiya</t>
  </si>
  <si>
    <t>emailed -- balrog -- replied - 2015-05-26</t>
  </si>
  <si>
    <t>t-takeda@m1.interq.or.jp</t>
  </si>
  <si>
    <t>various contributions, including audio work</t>
  </si>
  <si>
    <t>Tony La Porta</t>
  </si>
  <si>
    <t>Tormod Tjaberg</t>
  </si>
  <si>
    <t>contacted via IRC -- balrog</t>
  </si>
  <si>
    <t>Uki</t>
  </si>
  <si>
    <r>
      <rPr>
        <rFont val="calibri,arial,sans,sans-serif"/>
        <b/>
        <color rgb="FFFF0000"/>
        <sz val="11.0"/>
      </rPr>
      <t xml:space="preserve">Deceased - </t>
    </r>
    <r>
      <rPr>
        <rFont val="calibri,arial,sans,sans-serif"/>
        <color rgb="FF000000"/>
        <sz val="11.0"/>
      </rPr>
      <t>informed that he died few years ago</t>
    </r>
  </si>
  <si>
    <t>Victor Trucco</t>
  </si>
  <si>
    <t>Ville.Laitinen@smn.fi</t>
  </si>
  <si>
    <t>email sent -- balrog -- got reply 2015-05-25</t>
  </si>
  <si>
    <t>mostly rom and freq fixes</t>
  </si>
  <si>
    <t>email sent -- balrog 2015-05-28, to newer email 2015-06-06, replied 2015-06-09</t>
  </si>
  <si>
    <t>yochizo@olive.freemail.ne.jp (2001), yochizo@gmail.com, http://www.mameworld.info/ubbthreads/showprofile.php?Cat=&amp;User=16788</t>
  </si>
  <si>
    <t>4-5 drivers</t>
  </si>
  <si>
    <t>Imamura Yoshihiro</t>
  </si>
  <si>
    <t>Yves</t>
  </si>
  <si>
    <t>email sent -- balrog 2015-05-26, balrog 2015-12-20, replied 2015-12-21</t>
  </si>
  <si>
    <t>yves_rondeau@videotron.ca (2013), https://www.linkedin.com/profile/view?id=319153702, http://www.mameworld.info/ubbthreads/showprofile.php?Cat=&amp;User=20463</t>
  </si>
  <si>
    <t>ALSO NEED TO HANDLE THE "CONTRIBUTOR" SHEETS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</si>
</sst>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2">
    <font>
      <sz val="11.0"/>
      <color rgb="FF000000"/>
      <name val="Calibri"/>
    </font>
    <font>
      <b/>
      <sz val="11.0"/>
      <color rgb="FF000000"/>
      <name val="Calibri"/>
    </font>
    <font/>
    <font>
      <b/>
      <sz val="11.0"/>
      <color rgb="FF000000"/>
      <name val="Arial"/>
    </font>
    <font>
      <sz val="10.0"/>
    </font>
    <font>
      <b/>
    </font>
    <font>
      <b/>
      <name val="Arial"/>
    </font>
    <font>
      <sz val="11.0"/>
      <color rgb="FF000000"/>
      <name val="Arial"/>
    </font>
    <font>
      <name val="Arial"/>
    </font>
    <font>
      <b/>
      <sz val="11.0"/>
    </font>
    <font>
      <sz val="11.0"/>
    </font>
    <font>
      <b/>
      <sz val="11.0"/>
      <color rgb="FFFF0000"/>
    </font>
    <font>
      <b/>
      <sz val="11.0"/>
      <color rgb="FFFF0000"/>
      <name val="Calibri"/>
    </font>
    <font>
      <b/>
      <color rgb="FFFF0000"/>
    </font>
    <font>
      <color rgb="FF000000"/>
    </font>
    <font>
      <sz val="11.0"/>
      <color rgb="FF000000"/>
    </font>
    <font>
      <sz val="11.0"/>
      <color rgb="FF222222"/>
    </font>
    <font>
      <sz val="11.0"/>
      <color rgb="FFFF0000"/>
      <name val="Calibri"/>
    </font>
    <font>
      <b/>
      <color rgb="FFFF0000"/>
      <name val="Arial"/>
    </font>
    <font>
      <b/>
      <sz val="11.0"/>
      <color rgb="FFFF0000"/>
      <name val="Arial"/>
    </font>
    <font>
      <sz val="11.0"/>
      <name val="Calibri"/>
    </font>
    <font>
      <b/>
      <sz val="11.0"/>
      <name val="Calibri"/>
    </font>
    <font>
      <b/>
      <color rgb="FF000000"/>
    </font>
    <font>
      <sz val="11.0"/>
      <color rgb="FF222222"/>
      <name val="Calibri"/>
    </font>
    <font>
      <sz val="11.0"/>
      <color rgb="FF333333"/>
      <name val="'Helvetica Neue'"/>
    </font>
    <font>
      <u/>
      <sz val="11.0"/>
      <color rgb="FF000000"/>
      <name val="Calibri"/>
    </font>
    <font>
      <sz val="11.0"/>
      <color rgb="FF555555"/>
    </font>
    <font>
      <sz val="11.0"/>
      <color rgb="FFFFFFFF"/>
      <name val="Calibri"/>
    </font>
    <font>
      <b/>
      <sz val="11.0"/>
      <color rgb="FFFFFFFF"/>
    </font>
    <font>
      <b/>
      <sz val="11.0"/>
      <color rgb="FFFFFFFF"/>
      <name val="Calibri"/>
    </font>
    <font>
      <sz val="11.0"/>
      <color rgb="FFFFFFFF"/>
    </font>
    <font>
      <color rgb="FFFFFFFF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D0E0E3"/>
        <bgColor rgb="FFD0E0E3"/>
      </patternFill>
    </fill>
    <fill>
      <patternFill patternType="solid">
        <fgColor rgb="FF6AA84F"/>
        <bgColor rgb="FF6AA84F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A64D79"/>
        <bgColor rgb="FFA64D7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3" numFmtId="0" xfId="0" applyAlignment="1" applyFont="1">
      <alignment shrinkToFit="0" wrapText="0"/>
    </xf>
    <xf borderId="0" fillId="0" fontId="1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2" fontId="4" numFmtId="0" xfId="0" applyAlignment="1" applyFill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readingOrder="0" shrinkToFit="0" wrapText="0"/>
    </xf>
    <xf borderId="0" fillId="0" fontId="1" numFmtId="0" xfId="0" applyAlignment="1" applyFont="1">
      <alignment readingOrder="0" shrinkToFit="0" wrapText="0"/>
    </xf>
    <xf borderId="0" fillId="0" fontId="0" numFmtId="0" xfId="0" applyAlignment="1" applyFont="1">
      <alignment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readingOrder="0"/>
    </xf>
    <xf borderId="0" fillId="0" fontId="0" numFmtId="0" xfId="0" applyAlignment="1" applyFont="1">
      <alignment readingOrder="0" shrinkToFit="0" wrapText="0"/>
    </xf>
    <xf borderId="0" fillId="3" fontId="7" numFmtId="0" xfId="0" applyAlignment="1" applyFill="1" applyFont="1">
      <alignment readingOrder="0" shrinkToFit="0" vertical="bottom" wrapText="0"/>
    </xf>
    <xf borderId="0" fillId="3" fontId="8" numFmtId="0" xfId="0" applyFill="1" applyFont="1"/>
    <xf borderId="0" fillId="3" fontId="0" numFmtId="0" xfId="0" applyAlignment="1" applyFill="1" applyFont="1">
      <alignment readingOrder="0" shrinkToFit="0" wrapText="0"/>
    </xf>
    <xf borderId="0" fillId="0" fontId="9" numFmtId="0" xfId="0" applyAlignment="1" applyFont="1">
      <alignment readingOrder="0"/>
    </xf>
    <xf borderId="0" fillId="3" fontId="0" numFmtId="0" xfId="0" applyAlignment="1" applyFill="1" applyFont="1">
      <alignment shrinkToFit="0" wrapText="0"/>
    </xf>
    <xf borderId="0" fillId="3" fontId="2" numFmtId="0" xfId="0" applyFill="1" applyFont="1"/>
    <xf borderId="0" fillId="0" fontId="7" numFmtId="0" xfId="0" applyAlignment="1" applyFont="1">
      <alignment readingOrder="0" shrinkToFit="0" vertical="bottom" wrapText="0"/>
    </xf>
    <xf borderId="0" fillId="0" fontId="8" numFmtId="0" xfId="0" applyFont="1"/>
    <xf borderId="0" fillId="0" fontId="10" numFmtId="0" xfId="0" applyFont="1"/>
    <xf borderId="0" fillId="0" fontId="2" numFmtId="9" xfId="0" applyFont="1" applyNumberFormat="1"/>
    <xf borderId="0" fillId="3" fontId="0" numFmtId="0" xfId="0" applyAlignment="1" applyFill="1" applyFont="1">
      <alignment readingOrder="0" shrinkToFit="0" wrapText="0"/>
    </xf>
    <xf borderId="0" fillId="2" fontId="10" numFmtId="9" xfId="0" applyFill="1" applyFont="1" applyNumberFormat="1"/>
    <xf borderId="1" fillId="3" fontId="0" numFmtId="0" xfId="0" applyAlignment="1" applyBorder="1" applyFill="1" applyFont="1">
      <alignment shrinkToFit="0" wrapText="0"/>
    </xf>
    <xf borderId="0" fillId="4" fontId="2" numFmtId="0" xfId="0" applyAlignment="1" applyFill="1" applyFont="1">
      <alignment readingOrder="0"/>
    </xf>
    <xf borderId="0" fillId="4" fontId="4" numFmtId="0" xfId="0" applyAlignment="1" applyFill="1" applyFont="1">
      <alignment readingOrder="0"/>
    </xf>
    <xf borderId="0" fillId="5" fontId="7" numFmtId="0" xfId="0" applyAlignment="1" applyFill="1" applyFont="1">
      <alignment readingOrder="0" shrinkToFit="0" vertical="bottom" wrapText="0"/>
    </xf>
    <xf borderId="0" fillId="4" fontId="10" numFmtId="9" xfId="0" applyFill="1" applyFont="1" applyNumberFormat="1"/>
    <xf borderId="0" fillId="5" fontId="0" numFmtId="0" xfId="0" applyAlignment="1" applyFill="1" applyFont="1">
      <alignment shrinkToFit="0" wrapText="0"/>
    </xf>
    <xf borderId="0" fillId="5" fontId="8" numFmtId="0" xfId="0" applyFill="1" applyFont="1"/>
    <xf borderId="0" fillId="3" fontId="2" numFmtId="0" xfId="0" applyAlignment="1" applyFill="1" applyFont="1">
      <alignment readingOrder="0"/>
    </xf>
    <xf borderId="0" fillId="3" fontId="7" numFmtId="0" xfId="0" applyAlignment="1" applyFill="1" applyFont="1">
      <alignment readingOrder="0" shrinkToFit="0" wrapText="0"/>
    </xf>
    <xf borderId="0" fillId="6" fontId="0" numFmtId="0" xfId="0" applyAlignment="1" applyFill="1" applyFont="1">
      <alignment readingOrder="0" shrinkToFit="0" wrapText="0"/>
    </xf>
    <xf borderId="0" fillId="6" fontId="0" numFmtId="0" xfId="0" applyAlignment="1" applyFill="1" applyFont="1">
      <alignment shrinkToFit="0" wrapText="0"/>
    </xf>
    <xf borderId="0" fillId="6" fontId="2" numFmtId="0" xfId="0" applyAlignment="1" applyFill="1" applyFont="1">
      <alignment readingOrder="0"/>
    </xf>
    <xf borderId="0" fillId="6" fontId="2" numFmtId="0" xfId="0" applyFill="1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shrinkToFit="0" wrapText="0"/>
    </xf>
    <xf borderId="0" fillId="0" fontId="12" numFmtId="0" xfId="0" applyAlignment="1" applyFont="1">
      <alignment readingOrder="0" shrinkToFit="0" wrapText="0"/>
    </xf>
    <xf borderId="0" fillId="5" fontId="0" numFmtId="0" xfId="0" applyAlignment="1" applyFill="1" applyFont="1">
      <alignment readingOrder="0" shrinkToFit="0" wrapText="0"/>
    </xf>
    <xf borderId="0" fillId="7" fontId="7" numFmtId="0" xfId="0" applyAlignment="1" applyFill="1" applyFont="1">
      <alignment readingOrder="0" shrinkToFit="0" vertical="bottom" wrapText="0"/>
    </xf>
    <xf borderId="0" fillId="7" fontId="2" numFmtId="0" xfId="0" applyAlignment="1" applyFill="1" applyFont="1">
      <alignment readingOrder="0"/>
    </xf>
    <xf borderId="0" fillId="7" fontId="8" numFmtId="0" xfId="0" applyFill="1" applyFont="1"/>
    <xf borderId="0" fillId="7" fontId="13" numFmtId="0" xfId="0" applyAlignment="1" applyFill="1" applyFont="1">
      <alignment readingOrder="0"/>
    </xf>
    <xf borderId="0" fillId="5" fontId="12" numFmtId="0" xfId="0" applyAlignment="1" applyFill="1" applyFont="1">
      <alignment readingOrder="0" shrinkToFit="0" wrapText="0"/>
    </xf>
    <xf borderId="0" fillId="7" fontId="2" numFmtId="0" xfId="0" applyFill="1" applyFont="1"/>
    <xf borderId="0" fillId="7" fontId="8" numFmtId="0" xfId="0" applyAlignment="1" applyFill="1" applyFont="1">
      <alignment readingOrder="0"/>
    </xf>
    <xf borderId="0" fillId="3" fontId="10" numFmtId="0" xfId="0" applyAlignment="1" applyFill="1" applyFont="1">
      <alignment readingOrder="0"/>
    </xf>
    <xf borderId="0" fillId="0" fontId="10" numFmtId="0" xfId="0" applyAlignment="1" applyFont="1">
      <alignment readingOrder="0"/>
    </xf>
    <xf borderId="0" fillId="7" fontId="14" numFmtId="0" xfId="0" applyAlignment="1" applyFill="1" applyFont="1">
      <alignment readingOrder="0"/>
    </xf>
    <xf borderId="0" fillId="3" fontId="14" numFmtId="0" xfId="0" applyAlignment="1" applyFill="1" applyFont="1">
      <alignment readingOrder="0"/>
    </xf>
    <xf borderId="0" fillId="3" fontId="15" numFmtId="0" xfId="0" applyAlignment="1" applyFill="1" applyFont="1">
      <alignment readingOrder="0"/>
    </xf>
    <xf borderId="0" fillId="3" fontId="0" numFmtId="0" xfId="0" applyAlignment="1" applyFill="1" applyFont="1">
      <alignment shrinkToFit="0" wrapText="0"/>
    </xf>
    <xf borderId="0" fillId="2" fontId="10" numFmtId="0" xfId="0" applyAlignment="1" applyFill="1" applyFont="1">
      <alignment horizontal="left" readingOrder="0" shrinkToFit="0" wrapText="0"/>
    </xf>
    <xf borderId="0" fillId="3" fontId="10" numFmtId="0" xfId="0" applyAlignment="1" applyFill="1" applyFont="1">
      <alignment horizontal="left" readingOrder="0"/>
    </xf>
    <xf borderId="0" fillId="8" fontId="0" numFmtId="0" xfId="0" applyAlignment="1" applyFill="1" applyFont="1">
      <alignment readingOrder="0" shrinkToFit="0" wrapText="0"/>
    </xf>
    <xf borderId="0" fillId="8" fontId="0" numFmtId="0" xfId="0" applyAlignment="1" applyFill="1" applyFont="1">
      <alignment shrinkToFit="0" wrapText="0"/>
    </xf>
    <xf borderId="0" fillId="7" fontId="12" numFmtId="0" xfId="0" applyAlignment="1" applyFill="1" applyFont="1">
      <alignment readingOrder="0" shrinkToFit="0" wrapText="0"/>
    </xf>
    <xf borderId="0" fillId="3" fontId="16" numFmtId="0" xfId="0" applyAlignment="1" applyFill="1" applyFont="1">
      <alignment horizontal="left" readingOrder="0" shrinkToFit="0" wrapText="0"/>
    </xf>
    <xf borderId="1" fillId="3" fontId="0" numFmtId="0" xfId="0" applyAlignment="1" applyBorder="1" applyFill="1" applyFont="1">
      <alignment readingOrder="0" shrinkToFit="0" wrapText="0"/>
    </xf>
    <xf borderId="0" fillId="9" fontId="7" numFmtId="0" xfId="0" applyAlignment="1" applyFill="1" applyFont="1">
      <alignment readingOrder="0" shrinkToFit="0" vertical="bottom" wrapText="0"/>
    </xf>
    <xf borderId="0" fillId="9" fontId="8" numFmtId="0" xfId="0" applyFill="1" applyFont="1"/>
    <xf borderId="0" fillId="0" fontId="17" numFmtId="0" xfId="0" applyAlignment="1" applyFont="1">
      <alignment readingOrder="0" shrinkToFit="0" wrapText="0"/>
    </xf>
    <xf borderId="0" fillId="3" fontId="16" numFmtId="0" xfId="0" applyAlignment="1" applyFill="1" applyFont="1">
      <alignment readingOrder="0"/>
    </xf>
    <xf borderId="0" fillId="7" fontId="18" numFmtId="0" xfId="0" applyAlignment="1" applyFill="1" applyFont="1">
      <alignment readingOrder="0"/>
    </xf>
    <xf borderId="0" fillId="0" fontId="13" numFmtId="0" xfId="0" applyAlignment="1" applyFont="1">
      <alignment readingOrder="0"/>
    </xf>
    <xf borderId="0" fillId="5" fontId="19" numFmtId="0" xfId="0" applyAlignment="1" applyFill="1" applyFont="1">
      <alignment readingOrder="0" shrinkToFit="0" wrapText="0"/>
    </xf>
    <xf borderId="0" fillId="6" fontId="7" numFmtId="0" xfId="0" applyAlignment="1" applyFill="1" applyFont="1">
      <alignment readingOrder="0" shrinkToFit="0" vertical="bottom" wrapText="0"/>
    </xf>
    <xf borderId="0" fillId="6" fontId="8" numFmtId="0" xfId="0" applyFill="1" applyFont="1"/>
    <xf borderId="0" fillId="5" fontId="8" numFmtId="0" xfId="0" applyAlignment="1" applyFill="1" applyFont="1">
      <alignment readingOrder="0"/>
    </xf>
    <xf borderId="0" fillId="0" fontId="0" numFmtId="0" xfId="0" applyAlignment="1" applyFont="1">
      <alignment readingOrder="0" shrinkToFit="0" vertical="bottom" wrapText="0"/>
    </xf>
    <xf borderId="0" fillId="0" fontId="0" numFmtId="0" xfId="0" applyAlignment="1" applyFont="1">
      <alignment readingOrder="0" shrinkToFit="0" wrapText="0"/>
    </xf>
    <xf borderId="0" fillId="3" fontId="20" numFmtId="0" xfId="0" applyAlignment="1" applyFill="1" applyFont="1">
      <alignment readingOrder="0" shrinkToFit="0" wrapText="0"/>
    </xf>
    <xf borderId="0" fillId="3" fontId="20" numFmtId="0" xfId="0" applyAlignment="1" applyFill="1" applyFont="1">
      <alignment shrinkToFit="0" wrapText="0"/>
    </xf>
    <xf borderId="0" fillId="0" fontId="20" numFmtId="0" xfId="0" applyAlignment="1" applyFont="1">
      <alignment shrinkToFit="0" wrapText="0"/>
    </xf>
    <xf borderId="0" fillId="0" fontId="20" numFmtId="0" xfId="0" applyAlignment="1" applyFont="1">
      <alignment readingOrder="0" shrinkToFit="0" wrapText="0"/>
    </xf>
    <xf borderId="0" fillId="0" fontId="15" numFmtId="0" xfId="0" applyAlignment="1" applyFont="1">
      <alignment readingOrder="0"/>
    </xf>
    <xf borderId="0" fillId="10" fontId="0" numFmtId="0" xfId="0" applyAlignment="1" applyFill="1" applyFont="1">
      <alignment readingOrder="0" shrinkToFit="0" wrapText="0"/>
    </xf>
    <xf borderId="0" fillId="10" fontId="0" numFmtId="0" xfId="0" applyAlignment="1" applyFill="1" applyFont="1">
      <alignment shrinkToFit="0" wrapText="0"/>
    </xf>
    <xf borderId="0" fillId="10" fontId="1" numFmtId="0" xfId="0" applyAlignment="1" applyFill="1" applyFont="1">
      <alignment readingOrder="0" shrinkToFit="0" wrapText="0"/>
    </xf>
    <xf borderId="0" fillId="8" fontId="2" numFmtId="0" xfId="0" applyAlignment="1" applyFill="1" applyFont="1">
      <alignment readingOrder="0"/>
    </xf>
    <xf borderId="0" fillId="8" fontId="2" numFmtId="0" xfId="0" applyFill="1" applyFont="1"/>
    <xf borderId="0" fillId="11" fontId="2" numFmtId="0" xfId="0" applyFill="1" applyFont="1"/>
    <xf borderId="0" fillId="2" fontId="11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5" fontId="2" numFmtId="0" xfId="0" applyFill="1" applyFont="1"/>
    <xf borderId="0" fillId="11" fontId="2" numFmtId="0" xfId="0" applyAlignment="1" applyFill="1" applyFont="1">
      <alignment readingOrder="0"/>
    </xf>
    <xf borderId="1" fillId="3" fontId="2" numFmtId="0" xfId="0" applyBorder="1" applyFill="1" applyFont="1"/>
    <xf borderId="0" fillId="3" fontId="12" numFmtId="0" xfId="0" applyAlignment="1" applyFill="1" applyFont="1">
      <alignment readingOrder="0" shrinkToFit="0" wrapText="0"/>
    </xf>
    <xf borderId="0" fillId="7" fontId="11" numFmtId="0" xfId="0" applyAlignment="1" applyFill="1" applyFont="1">
      <alignment readingOrder="0"/>
    </xf>
    <xf borderId="0" fillId="5" fontId="11" numFmtId="0" xfId="0" applyAlignment="1" applyFill="1" applyFont="1">
      <alignment readingOrder="0"/>
    </xf>
    <xf borderId="0" fillId="10" fontId="21" numFmtId="0" xfId="0" applyAlignment="1" applyFill="1" applyFont="1">
      <alignment readingOrder="0" shrinkToFit="0" wrapText="0"/>
    </xf>
    <xf borderId="0" fillId="3" fontId="10" numFmtId="0" xfId="0" applyFill="1" applyFont="1"/>
    <xf borderId="0" fillId="6" fontId="8" numFmtId="0" xfId="0" applyAlignment="1" applyFill="1" applyFont="1">
      <alignment readingOrder="0"/>
    </xf>
    <xf borderId="0" fillId="5" fontId="12" numFmtId="0" xfId="0" applyAlignment="1" applyFill="1" applyFont="1">
      <alignment readingOrder="0" shrinkToFit="0" wrapText="0"/>
    </xf>
    <xf borderId="0" fillId="9" fontId="2" numFmtId="0" xfId="0" applyAlignment="1" applyFill="1" applyFont="1">
      <alignment readingOrder="0"/>
    </xf>
    <xf borderId="0" fillId="9" fontId="2" numFmtId="0" xfId="0" applyFill="1" applyFont="1"/>
    <xf borderId="0" fillId="7" fontId="16" numFmtId="0" xfId="0" applyAlignment="1" applyFill="1" applyFont="1">
      <alignment readingOrder="0"/>
    </xf>
    <xf borderId="0" fillId="9" fontId="0" numFmtId="0" xfId="0" applyAlignment="1" applyFill="1" applyFont="1">
      <alignment shrinkToFit="0" wrapText="0"/>
    </xf>
    <xf borderId="0" fillId="7" fontId="12" numFmtId="0" xfId="0" applyAlignment="1" applyFill="1" applyFont="1">
      <alignment readingOrder="0" shrinkToFit="0" wrapText="0"/>
    </xf>
    <xf borderId="0" fillId="0" fontId="11" numFmtId="0" xfId="0" applyFont="1"/>
    <xf borderId="0" fillId="9" fontId="0" numFmtId="0" xfId="0" applyAlignment="1" applyFill="1" applyFont="1">
      <alignment readingOrder="0" shrinkToFit="0" wrapText="0"/>
    </xf>
    <xf borderId="0" fillId="3" fontId="14" numFmtId="0" xfId="0" applyFill="1" applyFont="1"/>
    <xf borderId="0" fillId="3" fontId="22" numFmtId="0" xfId="0" applyAlignment="1" applyFill="1" applyFont="1">
      <alignment readingOrder="0"/>
    </xf>
    <xf borderId="0" fillId="3" fontId="8" numFmtId="0" xfId="0" applyAlignment="1" applyFill="1" applyFont="1">
      <alignment readingOrder="0"/>
    </xf>
    <xf borderId="0" fillId="3" fontId="10" numFmtId="0" xfId="0" applyAlignment="1" applyFill="1" applyFont="1">
      <alignment readingOrder="0" shrinkToFit="0" vertical="bottom" wrapText="0"/>
    </xf>
    <xf borderId="0" fillId="3" fontId="10" numFmtId="0" xfId="0" applyAlignment="1" applyFill="1" applyFont="1">
      <alignment shrinkToFit="0" vertical="bottom" wrapText="0"/>
    </xf>
    <xf borderId="0" fillId="3" fontId="10" numFmtId="0" xfId="0" applyAlignment="1" applyFill="1" applyFont="1">
      <alignment readingOrder="0" vertical="bottom"/>
    </xf>
    <xf borderId="0" fillId="0" fontId="10" numFmtId="0" xfId="0" applyAlignment="1" applyFont="1">
      <alignment shrinkToFit="0" vertical="bottom" wrapText="0"/>
    </xf>
    <xf borderId="0" fillId="0" fontId="10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3" fontId="7" numFmtId="0" xfId="0" applyAlignment="1" applyFill="1" applyFont="1">
      <alignment readingOrder="0" shrinkToFit="0" wrapText="0"/>
    </xf>
    <xf borderId="1" fillId="3" fontId="7" numFmtId="0" xfId="0" applyAlignment="1" applyBorder="1" applyFill="1" applyFont="1">
      <alignment readingOrder="0" shrinkToFit="0" wrapText="0"/>
    </xf>
    <xf borderId="0" fillId="3" fontId="1" numFmtId="0" xfId="0" applyAlignment="1" applyFill="1" applyFont="1">
      <alignment readingOrder="0" shrinkToFit="0" wrapText="0"/>
    </xf>
    <xf borderId="0" fillId="3" fontId="23" numFmtId="0" xfId="0" applyAlignment="1" applyFill="1" applyFont="1">
      <alignment shrinkToFit="0" wrapText="0"/>
    </xf>
    <xf borderId="0" fillId="5" fontId="0" numFmtId="0" xfId="0" applyAlignment="1" applyFill="1" applyFont="1">
      <alignment readingOrder="0" shrinkToFit="0" wrapText="0"/>
    </xf>
    <xf borderId="0" fillId="5" fontId="24" numFmtId="0" xfId="0" applyAlignment="1" applyFill="1" applyFont="1">
      <alignment readingOrder="0"/>
    </xf>
    <xf borderId="1" fillId="5" fontId="0" numFmtId="0" xfId="0" applyAlignment="1" applyBorder="1" applyFill="1" applyFont="1">
      <alignment shrinkToFit="0" wrapText="0"/>
    </xf>
    <xf borderId="0" fillId="2" fontId="12" numFmtId="0" xfId="0" applyAlignment="1" applyFill="1" applyFont="1">
      <alignment horizontal="left" readingOrder="0" shrinkToFit="0" wrapText="0"/>
    </xf>
    <xf borderId="0" fillId="3" fontId="16" numFmtId="0" xfId="0" applyAlignment="1" applyFill="1" applyFont="1">
      <alignment horizontal="right" readingOrder="0" shrinkToFit="0" wrapText="0"/>
    </xf>
    <xf borderId="0" fillId="3" fontId="12" numFmtId="0" xfId="0" applyAlignment="1" applyFill="1" applyFont="1">
      <alignment shrinkToFit="0" wrapText="0"/>
    </xf>
    <xf borderId="0" fillId="12" fontId="2" numFmtId="0" xfId="0" applyAlignment="1" applyFill="1" applyFont="1">
      <alignment readingOrder="0"/>
    </xf>
    <xf borderId="0" fillId="13" fontId="2" numFmtId="0" xfId="0" applyAlignment="1" applyFill="1" applyFont="1">
      <alignment readingOrder="0"/>
    </xf>
    <xf borderId="0" fillId="10" fontId="2" numFmtId="0" xfId="0" applyAlignment="1" applyFill="1" applyFont="1">
      <alignment readingOrder="0"/>
    </xf>
    <xf borderId="0" fillId="2" fontId="0" numFmtId="0" xfId="0" applyAlignment="1" applyFill="1" applyFont="1">
      <alignment readingOrder="0" shrinkToFit="0" wrapText="0"/>
    </xf>
    <xf borderId="0" fillId="14" fontId="2" numFmtId="0" xfId="0" applyAlignment="1" applyFill="1" applyFont="1">
      <alignment readingOrder="0"/>
    </xf>
    <xf borderId="0" fillId="2" fontId="0" numFmtId="0" xfId="0" applyAlignment="1" applyFill="1" applyFont="1">
      <alignment shrinkToFit="0" wrapText="0"/>
    </xf>
    <xf borderId="0" fillId="14" fontId="2" numFmtId="0" xfId="0" applyFill="1" applyFont="1"/>
    <xf borderId="1" fillId="2" fontId="0" numFmtId="0" xfId="0" applyAlignment="1" applyBorder="1" applyFill="1" applyFont="1">
      <alignment shrinkToFit="0" wrapText="0"/>
    </xf>
    <xf borderId="0" fillId="2" fontId="10" numFmtId="0" xfId="0" applyAlignment="1" applyFill="1" applyFont="1">
      <alignment readingOrder="0"/>
    </xf>
    <xf borderId="0" fillId="0" fontId="10" numFmtId="164" xfId="0" applyAlignment="1" applyFont="1" applyNumberFormat="1">
      <alignment readingOrder="0"/>
    </xf>
    <xf borderId="0" fillId="5" fontId="13" numFmtId="0" xfId="0" applyAlignment="1" applyFill="1" applyFont="1">
      <alignment readingOrder="0"/>
    </xf>
    <xf borderId="0" fillId="2" fontId="16" numFmtId="0" xfId="0" applyAlignment="1" applyFill="1" applyFont="1">
      <alignment readingOrder="0"/>
    </xf>
    <xf borderId="0" fillId="3" fontId="25" numFmtId="0" xfId="0" applyAlignment="1" applyFill="1" applyFont="1">
      <alignment readingOrder="0" shrinkToFit="0" wrapText="0"/>
    </xf>
    <xf borderId="0" fillId="2" fontId="26" numFmtId="0" xfId="0" applyAlignment="1" applyFill="1" applyFont="1">
      <alignment horizontal="left" readingOrder="0" shrinkToFit="0" wrapText="0"/>
    </xf>
    <xf borderId="0" fillId="4" fontId="27" numFmtId="0" xfId="0" applyAlignment="1" applyFill="1" applyFont="1">
      <alignment readingOrder="0" shrinkToFit="0" wrapText="0"/>
    </xf>
    <xf borderId="0" fillId="4" fontId="27" numFmtId="0" xfId="0" applyAlignment="1" applyFill="1" applyFont="1">
      <alignment shrinkToFit="0" wrapText="0"/>
    </xf>
    <xf borderId="0" fillId="4" fontId="28" numFmtId="0" xfId="0" applyAlignment="1" applyFill="1" applyFont="1">
      <alignment readingOrder="0"/>
    </xf>
    <xf borderId="0" fillId="4" fontId="29" numFmtId="0" xfId="0" applyAlignment="1" applyFill="1" applyFont="1">
      <alignment shrinkToFit="0" wrapText="0"/>
    </xf>
    <xf borderId="0" fillId="4" fontId="29" numFmtId="0" xfId="0" applyAlignment="1" applyFill="1" applyFont="1">
      <alignment readingOrder="0" shrinkToFit="0" wrapText="0"/>
    </xf>
    <xf borderId="0" fillId="4" fontId="30" numFmtId="0" xfId="0" applyFill="1" applyFont="1"/>
    <xf borderId="0" fillId="4" fontId="31" numFmtId="0" xfId="0" applyFill="1" applyFont="1"/>
    <xf borderId="0" fillId="15" fontId="0" numFmtId="0" xfId="0" applyAlignment="1" applyFill="1" applyFont="1">
      <alignment readingOrder="0" shrinkToFit="0" wrapText="0"/>
    </xf>
    <xf borderId="0" fillId="15" fontId="10" numFmtId="9" xfId="0" applyFill="1" applyFont="1" applyNumberFormat="1"/>
    <xf borderId="0" fillId="15" fontId="27" numFmtId="0" xfId="0" applyAlignment="1" applyFill="1" applyFont="1">
      <alignment readingOrder="0" shrinkToFit="0" wrapText="0"/>
    </xf>
    <xf borderId="0" fillId="15" fontId="27" numFmtId="0" xfId="0" applyAlignment="1" applyFill="1" applyFont="1">
      <alignment shrinkToFit="0" wrapText="0"/>
    </xf>
    <xf borderId="0" fillId="15" fontId="28" numFmtId="0" xfId="0" applyAlignment="1" applyFill="1" applyFont="1">
      <alignment readingOrder="0"/>
    </xf>
    <xf borderId="0" fillId="15" fontId="29" numFmtId="0" xfId="0" applyAlignment="1" applyFill="1" applyFont="1">
      <alignment shrinkToFit="0" wrapText="0"/>
    </xf>
    <xf borderId="0" fillId="15" fontId="29" numFmtId="0" xfId="0" applyAlignment="1" applyFill="1" applyFont="1">
      <alignment readingOrder="0" shrinkToFit="0" wrapText="0"/>
    </xf>
    <xf borderId="0" fillId="15" fontId="30" numFmtId="0" xfId="0" applyFill="1" applyFont="1"/>
    <xf borderId="0" fillId="15" fontId="31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elitecoder.com/bionic/emu.html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12.29"/>
    <col customWidth="1" min="2" max="3" width="35.29"/>
    <col customWidth="1" min="4" max="4" width="84.57"/>
    <col customWidth="1" min="5" max="5" width="324.0"/>
    <col customWidth="1" min="6" max="6" width="36.14"/>
    <col customWidth="1" min="7" max="7" width="26.14"/>
    <col customWidth="1" min="8" max="8" width="8.71"/>
    <col customWidth="1" min="9" max="9" width="14.57"/>
    <col customWidth="1" min="10" max="10" width="18.57"/>
    <col customWidth="1" min="11" max="11" width="8.71"/>
    <col customWidth="1" min="12" max="28" width="14.57"/>
  </cols>
  <sheetData>
    <row r="1">
      <c r="A1" s="4"/>
      <c r="B1" s="1" t="s">
        <v>0</v>
      </c>
      <c r="C1" s="1" t="s">
        <v>3</v>
      </c>
      <c r="D1" s="1" t="s">
        <v>4</v>
      </c>
      <c r="E1" s="18" t="s">
        <v>5</v>
      </c>
      <c r="F1" s="10" t="s">
        <v>16</v>
      </c>
      <c r="G1" s="11"/>
      <c r="H1" s="23"/>
      <c r="I1" s="11"/>
      <c r="J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</row>
    <row r="2">
      <c r="A2" s="25">
        <v>1.0</v>
      </c>
      <c r="B2" s="27" t="s">
        <v>12</v>
      </c>
      <c r="C2" s="27" t="s">
        <v>46</v>
      </c>
      <c r="D2" s="27"/>
      <c r="E2" s="23"/>
      <c r="F2" s="11"/>
      <c r="G2" s="11"/>
      <c r="H2" s="23"/>
      <c r="I2" s="11"/>
      <c r="J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7">
        <v>1.0</v>
      </c>
      <c r="B3" s="19" t="s">
        <v>14</v>
      </c>
      <c r="C3" s="17" t="s">
        <v>46</v>
      </c>
      <c r="D3" s="19"/>
      <c r="E3" s="23"/>
      <c r="F3" s="11"/>
      <c r="G3" s="11"/>
      <c r="H3" s="23"/>
      <c r="I3" s="11"/>
      <c r="J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</row>
    <row r="4">
      <c r="A4" s="25">
        <v>1.0</v>
      </c>
      <c r="B4" s="27" t="s">
        <v>19</v>
      </c>
      <c r="C4" s="27" t="s">
        <v>46</v>
      </c>
      <c r="D4" s="27"/>
      <c r="E4" s="23"/>
      <c r="F4" s="11"/>
      <c r="G4" s="11"/>
      <c r="H4" s="23"/>
      <c r="I4" s="11"/>
      <c r="J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</row>
    <row r="5">
      <c r="A5" s="25">
        <v>1.0</v>
      </c>
      <c r="B5" s="27" t="s">
        <v>75</v>
      </c>
      <c r="C5" s="27" t="s">
        <v>46</v>
      </c>
      <c r="D5" s="27"/>
      <c r="E5" s="23"/>
      <c r="F5" s="11"/>
      <c r="G5" s="11"/>
      <c r="H5" s="23"/>
      <c r="I5" s="11"/>
      <c r="J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>
      <c r="A6" s="25">
        <v>1.0</v>
      </c>
      <c r="B6" s="27" t="s">
        <v>39</v>
      </c>
      <c r="C6" s="27" t="s">
        <v>46</v>
      </c>
      <c r="D6" s="27"/>
      <c r="E6" s="23"/>
      <c r="F6" s="11"/>
      <c r="G6" s="11"/>
      <c r="H6" s="23"/>
      <c r="I6" s="11"/>
      <c r="J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>
      <c r="A7" s="17">
        <v>1.0</v>
      </c>
      <c r="B7" s="19" t="s">
        <v>96</v>
      </c>
      <c r="C7" s="17" t="s">
        <v>46</v>
      </c>
      <c r="D7" s="17"/>
      <c r="E7" s="40"/>
      <c r="F7" s="41"/>
      <c r="G7" s="42"/>
      <c r="H7" s="23"/>
      <c r="I7" s="11"/>
      <c r="J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>
      <c r="A8" s="17">
        <v>1.0</v>
      </c>
      <c r="B8" s="19" t="s">
        <v>49</v>
      </c>
      <c r="C8" s="17" t="s">
        <v>46</v>
      </c>
      <c r="D8" s="19"/>
      <c r="E8" s="23"/>
      <c r="F8" s="11"/>
      <c r="G8" s="11"/>
      <c r="H8" s="23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>
      <c r="A9" s="25">
        <v>1.0</v>
      </c>
      <c r="B9" s="27" t="s">
        <v>47</v>
      </c>
      <c r="C9" s="27" t="s">
        <v>46</v>
      </c>
      <c r="D9" s="27"/>
      <c r="E9" s="23"/>
      <c r="F9" s="11"/>
      <c r="G9" s="11"/>
      <c r="H9" s="23"/>
      <c r="I9" s="11"/>
      <c r="J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>
      <c r="A10" s="43">
        <v>1.0</v>
      </c>
      <c r="B10" s="32" t="s">
        <v>53</v>
      </c>
      <c r="C10" s="32"/>
      <c r="D10" s="48" t="s">
        <v>144</v>
      </c>
      <c r="E10" s="40" t="s">
        <v>149</v>
      </c>
      <c r="F10" s="11"/>
      <c r="G10" s="11"/>
      <c r="H10" s="23"/>
      <c r="I10" s="11"/>
      <c r="J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>
      <c r="A11" s="25">
        <v>1.0</v>
      </c>
      <c r="B11" s="27" t="s">
        <v>52</v>
      </c>
      <c r="C11" s="27" t="s">
        <v>46</v>
      </c>
      <c r="D11" s="27"/>
      <c r="E11" s="23"/>
      <c r="F11" s="11"/>
      <c r="G11" s="11"/>
      <c r="H11" s="23"/>
      <c r="I11" s="11"/>
      <c r="J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>
      <c r="A12" s="25">
        <v>1.0</v>
      </c>
      <c r="B12" s="27" t="s">
        <v>170</v>
      </c>
      <c r="C12" s="27" t="s">
        <v>171</v>
      </c>
      <c r="D12" s="27" t="s">
        <v>173</v>
      </c>
      <c r="E12" s="23"/>
      <c r="F12" s="11"/>
      <c r="G12" s="11"/>
      <c r="H12" s="23"/>
      <c r="I12" s="11"/>
      <c r="J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>
      <c r="A13" s="51">
        <v>1.0</v>
      </c>
      <c r="B13" s="51" t="s">
        <v>180</v>
      </c>
      <c r="C13" s="17" t="s">
        <v>46</v>
      </c>
      <c r="D13" s="19"/>
      <c r="E13" s="52" t="s">
        <v>184</v>
      </c>
      <c r="F13" s="11"/>
      <c r="G13" s="11"/>
      <c r="H13" s="23"/>
      <c r="I13" s="11"/>
      <c r="J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>
      <c r="A14" s="17">
        <v>1.0</v>
      </c>
      <c r="B14" s="19" t="s">
        <v>192</v>
      </c>
      <c r="C14" s="17" t="s">
        <v>46</v>
      </c>
      <c r="D14" s="51" t="s">
        <v>196</v>
      </c>
      <c r="E14" s="52" t="s">
        <v>199</v>
      </c>
      <c r="F14" s="11"/>
      <c r="G14" s="11"/>
      <c r="H14" s="23"/>
      <c r="I14" s="11"/>
      <c r="J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>
      <c r="A15" s="25">
        <v>1.0</v>
      </c>
      <c r="B15" s="27" t="s">
        <v>65</v>
      </c>
      <c r="C15" s="27" t="s">
        <v>209</v>
      </c>
      <c r="D15" s="27"/>
      <c r="E15" s="23"/>
      <c r="F15" s="11"/>
      <c r="G15" s="14"/>
      <c r="H15" s="23"/>
      <c r="I15" s="11"/>
      <c r="J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>
      <c r="A16" s="17">
        <v>1.0</v>
      </c>
      <c r="B16" s="19" t="s">
        <v>68</v>
      </c>
      <c r="C16" s="17" t="s">
        <v>216</v>
      </c>
      <c r="D16" s="17" t="s">
        <v>217</v>
      </c>
      <c r="E16" s="52" t="s">
        <v>218</v>
      </c>
      <c r="F16" s="11"/>
      <c r="G16" s="11"/>
      <c r="H16" s="23"/>
      <c r="I16" s="11"/>
      <c r="J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>
      <c r="A17" s="25">
        <v>1.0</v>
      </c>
      <c r="B17" s="27" t="s">
        <v>71</v>
      </c>
      <c r="C17" s="27" t="s">
        <v>46</v>
      </c>
      <c r="D17" s="27"/>
      <c r="E17" s="23"/>
      <c r="F17" s="11"/>
      <c r="G17" s="11"/>
      <c r="H17" s="23"/>
      <c r="I17" s="11"/>
      <c r="J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>
      <c r="A18" s="25">
        <v>1.0</v>
      </c>
      <c r="B18" s="27" t="s">
        <v>234</v>
      </c>
      <c r="C18" s="27" t="s">
        <v>46</v>
      </c>
      <c r="D18" s="27"/>
      <c r="E18" s="23"/>
      <c r="F18" s="11"/>
      <c r="G18" s="11"/>
      <c r="H18" s="23"/>
      <c r="I18" s="11"/>
      <c r="J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>
      <c r="A19" s="25">
        <v>1.0</v>
      </c>
      <c r="B19" s="55" t="s">
        <v>244</v>
      </c>
      <c r="C19" s="25" t="s">
        <v>46</v>
      </c>
      <c r="D19" s="56"/>
      <c r="E19" s="23"/>
      <c r="F19" s="11"/>
      <c r="G19" s="11"/>
      <c r="H19" s="23"/>
      <c r="I19" s="11"/>
      <c r="J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>
      <c r="A20" s="17">
        <v>1.0</v>
      </c>
      <c r="B20" s="19" t="s">
        <v>260</v>
      </c>
      <c r="C20" s="17" t="s">
        <v>46</v>
      </c>
      <c r="D20" s="17" t="s">
        <v>262</v>
      </c>
      <c r="E20" s="52" t="s">
        <v>264</v>
      </c>
      <c r="F20" s="14" t="s">
        <v>265</v>
      </c>
      <c r="G20" s="11"/>
      <c r="H20" s="23"/>
      <c r="I20" s="11"/>
      <c r="J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>
      <c r="A21" s="17">
        <v>1.0</v>
      </c>
      <c r="B21" s="19" t="s">
        <v>276</v>
      </c>
      <c r="C21" s="17" t="s">
        <v>46</v>
      </c>
      <c r="D21" s="19"/>
      <c r="E21" s="23"/>
      <c r="F21" s="11"/>
      <c r="G21" s="11"/>
      <c r="H21" s="23"/>
      <c r="I21" s="11"/>
      <c r="J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>
      <c r="A22" s="25">
        <v>1.0</v>
      </c>
      <c r="B22" s="27" t="s">
        <v>285</v>
      </c>
      <c r="C22" s="27" t="s">
        <v>46</v>
      </c>
      <c r="D22" s="27"/>
      <c r="E22" s="23"/>
      <c r="F22" s="11"/>
      <c r="G22" s="11"/>
      <c r="H22" s="23"/>
      <c r="I22" s="11"/>
      <c r="J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>
      <c r="A23" s="17">
        <v>1.0</v>
      </c>
      <c r="B23" s="19" t="s">
        <v>86</v>
      </c>
      <c r="C23" s="17" t="s">
        <v>46</v>
      </c>
      <c r="D23" s="19"/>
      <c r="E23" s="23"/>
      <c r="F23" s="11"/>
      <c r="G23" s="11"/>
      <c r="H23" s="23"/>
      <c r="I23" s="11"/>
      <c r="J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>
      <c r="A24" s="51">
        <v>1.0</v>
      </c>
      <c r="B24" s="51" t="s">
        <v>90</v>
      </c>
      <c r="C24" s="17" t="s">
        <v>46</v>
      </c>
      <c r="D24" s="51"/>
      <c r="E24" s="57" t="s">
        <v>309</v>
      </c>
      <c r="F24" s="11" t="s">
        <v>311</v>
      </c>
      <c r="G24" s="11"/>
      <c r="H24" s="23"/>
      <c r="I24" s="11"/>
      <c r="J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>
      <c r="A25" s="25">
        <v>1.0</v>
      </c>
      <c r="B25" s="27" t="s">
        <v>321</v>
      </c>
      <c r="C25" s="27" t="s">
        <v>171</v>
      </c>
      <c r="D25" s="27" t="s">
        <v>173</v>
      </c>
      <c r="E25" s="23"/>
      <c r="F25" s="11"/>
      <c r="G25" s="11"/>
      <c r="H25" s="23"/>
      <c r="I25" s="11"/>
      <c r="J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>
      <c r="A26" s="25">
        <v>1.0</v>
      </c>
      <c r="B26" s="27" t="s">
        <v>92</v>
      </c>
      <c r="C26" s="27" t="s">
        <v>46</v>
      </c>
      <c r="D26" s="27"/>
      <c r="E26" s="23"/>
      <c r="F26" s="11"/>
      <c r="G26" s="11"/>
      <c r="H26" s="23"/>
      <c r="I26" s="11"/>
      <c r="J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>
      <c r="A27" s="17">
        <v>1.0</v>
      </c>
      <c r="B27" s="19" t="s">
        <v>338</v>
      </c>
      <c r="C27" s="17" t="s">
        <v>46</v>
      </c>
      <c r="D27" s="58" t="s">
        <v>340</v>
      </c>
      <c r="E27" s="52" t="s">
        <v>342</v>
      </c>
      <c r="F27" s="11"/>
      <c r="G27" s="11"/>
      <c r="H27" s="23"/>
      <c r="I27" s="11"/>
      <c r="J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>
      <c r="A28" s="17">
        <v>1.0</v>
      </c>
      <c r="B28" s="19" t="s">
        <v>111</v>
      </c>
      <c r="C28" s="17" t="s">
        <v>46</v>
      </c>
      <c r="D28" s="19"/>
      <c r="E28" s="23"/>
      <c r="F28" s="11"/>
      <c r="G28" s="11"/>
      <c r="H28" s="23"/>
      <c r="I28" s="11"/>
      <c r="J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>
      <c r="A29" s="25">
        <v>1.0</v>
      </c>
      <c r="B29" s="27" t="s">
        <v>110</v>
      </c>
      <c r="C29" s="27" t="s">
        <v>46</v>
      </c>
      <c r="D29" s="27"/>
      <c r="E29" s="23"/>
      <c r="F29" s="11"/>
      <c r="G29" s="11"/>
      <c r="H29" s="23"/>
      <c r="I29" s="11"/>
      <c r="J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>
      <c r="A30" s="59">
        <v>1.0</v>
      </c>
      <c r="B30" s="60" t="s">
        <v>364</v>
      </c>
      <c r="C30" s="59" t="s">
        <v>366</v>
      </c>
      <c r="D30" s="61" t="s">
        <v>367</v>
      </c>
      <c r="E30" s="40" t="s">
        <v>371</v>
      </c>
      <c r="F30" s="14" t="s">
        <v>373</v>
      </c>
      <c r="G30" s="14" t="s">
        <v>376</v>
      </c>
      <c r="H30" s="23"/>
      <c r="I30" s="11"/>
      <c r="J30" s="14" t="s">
        <v>378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>
      <c r="A31" s="25">
        <v>1.0</v>
      </c>
      <c r="B31" s="27" t="s">
        <v>387</v>
      </c>
      <c r="C31" s="27" t="s">
        <v>389</v>
      </c>
      <c r="D31" s="27"/>
      <c r="E31" s="23"/>
      <c r="F31" s="11"/>
      <c r="G31" s="11"/>
      <c r="H31" s="23"/>
      <c r="I31" s="11"/>
      <c r="J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>
      <c r="A32" s="25">
        <v>1.0</v>
      </c>
      <c r="B32" s="27" t="s">
        <v>152</v>
      </c>
      <c r="C32" s="27" t="s">
        <v>46</v>
      </c>
      <c r="D32" s="27"/>
      <c r="E32" s="23"/>
      <c r="F32" s="11"/>
      <c r="G32" s="11"/>
      <c r="H32" s="23"/>
      <c r="I32" s="11"/>
      <c r="J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>
      <c r="A33" s="25">
        <v>1.0</v>
      </c>
      <c r="B33" s="27" t="s">
        <v>405</v>
      </c>
      <c r="C33" s="27" t="s">
        <v>46</v>
      </c>
      <c r="D33" s="27"/>
      <c r="E33" s="23"/>
      <c r="F33" s="11"/>
      <c r="G33" s="11"/>
      <c r="H33" s="23"/>
      <c r="I33" s="11"/>
      <c r="J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>
      <c r="A34" s="25">
        <v>1.0</v>
      </c>
      <c r="B34" s="62" t="s">
        <v>416</v>
      </c>
      <c r="C34" s="63" t="s">
        <v>46</v>
      </c>
      <c r="D34" s="63"/>
      <c r="E34" s="52"/>
      <c r="F34" s="14"/>
      <c r="G34" s="11"/>
      <c r="H34" s="23"/>
      <c r="I34" s="11"/>
      <c r="J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>
      <c r="A35" s="25">
        <v>1.0</v>
      </c>
      <c r="B35" s="63" t="s">
        <v>124</v>
      </c>
      <c r="C35" s="63" t="s">
        <v>46</v>
      </c>
      <c r="D35" s="63" t="s">
        <v>430</v>
      </c>
      <c r="E35" s="52" t="s">
        <v>128</v>
      </c>
      <c r="F35" s="14" t="s">
        <v>436</v>
      </c>
      <c r="G35" s="11"/>
      <c r="H35" s="23"/>
      <c r="I35" s="11"/>
      <c r="J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>
      <c r="A36" s="25">
        <v>1.0</v>
      </c>
      <c r="B36" s="27" t="s">
        <v>122</v>
      </c>
      <c r="C36" s="27" t="s">
        <v>46</v>
      </c>
      <c r="D36" s="27"/>
      <c r="E36" s="23"/>
      <c r="F36" s="11"/>
      <c r="G36" s="11"/>
      <c r="H36" s="23"/>
      <c r="I36" s="11"/>
      <c r="J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>
      <c r="A37" s="17">
        <v>1.0</v>
      </c>
      <c r="B37" s="19" t="s">
        <v>130</v>
      </c>
      <c r="C37" s="27" t="s">
        <v>46</v>
      </c>
      <c r="D37" s="19"/>
      <c r="E37" s="23"/>
      <c r="F37" s="11"/>
      <c r="G37" s="66"/>
      <c r="H37" s="23"/>
      <c r="I37" s="11"/>
      <c r="J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>
      <c r="A38" s="17">
        <v>1.0</v>
      </c>
      <c r="B38" s="19" t="s">
        <v>135</v>
      </c>
      <c r="C38" s="17" t="s">
        <v>46</v>
      </c>
      <c r="D38" s="63" t="s">
        <v>496</v>
      </c>
      <c r="E38" s="52" t="s">
        <v>499</v>
      </c>
      <c r="F38" s="14" t="s">
        <v>501</v>
      </c>
      <c r="G38" s="11"/>
      <c r="H38" s="23"/>
      <c r="I38" s="11"/>
      <c r="J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>
      <c r="A39" s="25">
        <v>1.0</v>
      </c>
      <c r="B39" s="27" t="s">
        <v>510</v>
      </c>
      <c r="C39" s="27" t="s">
        <v>46</v>
      </c>
      <c r="D39" s="27"/>
      <c r="E39" s="23"/>
      <c r="F39" s="11"/>
      <c r="G39" s="11"/>
      <c r="H39" s="23"/>
      <c r="I39" s="11"/>
      <c r="J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>
      <c r="A40" s="17">
        <v>1.0</v>
      </c>
      <c r="B40" s="17" t="s">
        <v>520</v>
      </c>
      <c r="C40" s="67" t="s">
        <v>523</v>
      </c>
      <c r="D40" s="17"/>
      <c r="E40" s="52" t="s">
        <v>526</v>
      </c>
      <c r="F40" s="14" t="s">
        <v>528</v>
      </c>
      <c r="G40" s="11"/>
      <c r="H40" s="23"/>
      <c r="I40" s="11"/>
      <c r="J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>
      <c r="A41" s="17">
        <v>1.0</v>
      </c>
      <c r="B41" s="19" t="s">
        <v>540</v>
      </c>
      <c r="C41" s="51" t="s">
        <v>35</v>
      </c>
      <c r="D41" s="17"/>
      <c r="E41" s="23"/>
      <c r="F41" s="11" t="s">
        <v>265</v>
      </c>
      <c r="G41" s="11"/>
      <c r="H41" s="23"/>
      <c r="I41" s="11"/>
      <c r="J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>
      <c r="A42" s="2"/>
      <c r="B42" s="2" t="s">
        <v>552</v>
      </c>
      <c r="D42" s="68" t="s">
        <v>147</v>
      </c>
      <c r="E42" s="69" t="s">
        <v>560</v>
      </c>
      <c r="F42" s="2"/>
      <c r="H42" s="2" t="s">
        <v>154</v>
      </c>
      <c r="I42" s="11"/>
      <c r="J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>
      <c r="A43" s="43">
        <v>1.0</v>
      </c>
      <c r="B43" s="32" t="s">
        <v>577</v>
      </c>
      <c r="C43" s="32"/>
      <c r="D43" s="70" t="s">
        <v>580</v>
      </c>
      <c r="E43" s="40" t="s">
        <v>587</v>
      </c>
      <c r="F43" s="11" t="s">
        <v>265</v>
      </c>
      <c r="G43" s="11"/>
      <c r="H43" s="23"/>
      <c r="I43" s="11"/>
      <c r="J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>
      <c r="A44" s="25">
        <v>1.0</v>
      </c>
      <c r="B44" s="27" t="s">
        <v>604</v>
      </c>
      <c r="C44" s="27" t="s">
        <v>63</v>
      </c>
      <c r="D44" s="27" t="s">
        <v>173</v>
      </c>
      <c r="E44" s="23"/>
      <c r="F44" s="11"/>
      <c r="G44" s="11"/>
      <c r="H44" s="23"/>
      <c r="I44" s="11"/>
      <c r="J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>
      <c r="A45" s="25">
        <v>1.0</v>
      </c>
      <c r="B45" s="27" t="s">
        <v>613</v>
      </c>
      <c r="C45" s="27" t="s">
        <v>389</v>
      </c>
      <c r="D45" s="27"/>
      <c r="E45" s="23"/>
      <c r="F45" s="11"/>
      <c r="G45" s="11"/>
      <c r="H45" s="23"/>
      <c r="I45" s="11"/>
      <c r="J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>
      <c r="A46" s="25">
        <v>1.0</v>
      </c>
      <c r="B46" s="63" t="s">
        <v>145</v>
      </c>
      <c r="C46" s="63" t="s">
        <v>46</v>
      </c>
      <c r="D46" s="27"/>
      <c r="E46" s="52" t="s">
        <v>621</v>
      </c>
      <c r="F46" s="11"/>
      <c r="G46" s="11"/>
      <c r="H46" s="23"/>
      <c r="I46" s="11"/>
      <c r="J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>
      <c r="A47" s="25">
        <v>1.0</v>
      </c>
      <c r="B47" s="27" t="s">
        <v>160</v>
      </c>
      <c r="C47" s="27" t="s">
        <v>46</v>
      </c>
      <c r="D47" s="27"/>
      <c r="E47" s="23"/>
      <c r="F47" s="11"/>
      <c r="G47" s="11"/>
      <c r="H47" s="23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>
      <c r="A48" s="25">
        <v>1.0</v>
      </c>
      <c r="B48" s="27" t="s">
        <v>641</v>
      </c>
      <c r="C48" s="27" t="s">
        <v>389</v>
      </c>
      <c r="D48" s="27" t="s">
        <v>173</v>
      </c>
      <c r="E48" s="23"/>
      <c r="F48" s="11"/>
      <c r="G48" s="11"/>
      <c r="H48" s="23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>
      <c r="A49" s="25">
        <v>1.0</v>
      </c>
      <c r="B49" s="27" t="s">
        <v>166</v>
      </c>
      <c r="C49" s="27" t="s">
        <v>46</v>
      </c>
      <c r="D49" s="27"/>
      <c r="E49" s="23"/>
      <c r="F49" s="11"/>
      <c r="G49" s="11"/>
      <c r="H49" s="23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>
      <c r="A50" s="17">
        <v>1.0</v>
      </c>
      <c r="B50" s="19" t="s">
        <v>657</v>
      </c>
      <c r="C50" s="27" t="s">
        <v>389</v>
      </c>
      <c r="D50" s="17" t="s">
        <v>659</v>
      </c>
      <c r="E50" s="23"/>
      <c r="F50" s="11" t="s">
        <v>661</v>
      </c>
      <c r="G50" s="11"/>
      <c r="H50" s="23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>
      <c r="A51" s="25">
        <v>1.0</v>
      </c>
      <c r="B51" s="27" t="s">
        <v>669</v>
      </c>
      <c r="C51" s="27" t="s">
        <v>46</v>
      </c>
      <c r="D51" s="27"/>
      <c r="E51" s="23"/>
      <c r="F51" s="11"/>
      <c r="G51" s="11"/>
      <c r="H51" s="23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>
      <c r="A52" s="17">
        <v>1.0</v>
      </c>
      <c r="B52" s="19" t="s">
        <v>169</v>
      </c>
      <c r="C52" s="17" t="s">
        <v>46</v>
      </c>
      <c r="D52" s="17" t="s">
        <v>340</v>
      </c>
      <c r="E52" s="52" t="s">
        <v>709</v>
      </c>
      <c r="F52" s="14" t="s">
        <v>711</v>
      </c>
      <c r="G52" s="11"/>
      <c r="H52" s="23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>
      <c r="A53" s="25">
        <v>1.0</v>
      </c>
      <c r="B53" s="27" t="s">
        <v>725</v>
      </c>
      <c r="C53" s="27" t="s">
        <v>46</v>
      </c>
      <c r="D53" s="27"/>
      <c r="E53" s="23"/>
      <c r="F53" s="11"/>
      <c r="G53" s="11"/>
      <c r="H53" s="23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>
      <c r="A54" s="17">
        <v>1.0</v>
      </c>
      <c r="B54" s="19" t="s">
        <v>731</v>
      </c>
      <c r="C54" s="27" t="s">
        <v>389</v>
      </c>
      <c r="D54" s="19"/>
      <c r="E54" s="52" t="s">
        <v>732</v>
      </c>
      <c r="F54" s="11"/>
      <c r="G54" s="11"/>
      <c r="H54" s="23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>
      <c r="A55" s="17">
        <v>1.0</v>
      </c>
      <c r="B55" s="19" t="s">
        <v>190</v>
      </c>
      <c r="C55" s="17" t="s">
        <v>46</v>
      </c>
      <c r="D55" s="17"/>
      <c r="E55" s="40"/>
      <c r="F55" s="41"/>
      <c r="G55" s="42"/>
      <c r="H55" s="23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>
      <c r="A56" s="25">
        <v>1.0</v>
      </c>
      <c r="B56" s="27" t="s">
        <v>185</v>
      </c>
      <c r="C56" s="27" t="s">
        <v>46</v>
      </c>
      <c r="D56" s="27"/>
      <c r="E56" s="23"/>
      <c r="F56" s="11"/>
      <c r="G56" s="11"/>
      <c r="H56" s="23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>
      <c r="A57" s="75"/>
      <c r="B57" s="2" t="s">
        <v>195</v>
      </c>
      <c r="D57" s="49"/>
      <c r="E57" s="69" t="s">
        <v>744</v>
      </c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>
      <c r="A58" s="25">
        <v>1.0</v>
      </c>
      <c r="B58" s="27" t="s">
        <v>207</v>
      </c>
      <c r="C58" s="27" t="s">
        <v>46</v>
      </c>
      <c r="D58" s="27"/>
      <c r="E58" s="23"/>
      <c r="F58" s="11"/>
      <c r="G58" s="11"/>
      <c r="H58" s="23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>
      <c r="A59" s="76">
        <v>1.0</v>
      </c>
      <c r="B59" s="76" t="s">
        <v>168</v>
      </c>
      <c r="C59" s="76" t="s">
        <v>46</v>
      </c>
      <c r="D59" s="77"/>
      <c r="E59" s="52"/>
      <c r="F59" s="78"/>
      <c r="G59" s="79"/>
      <c r="H59" s="23"/>
      <c r="I59" s="78"/>
      <c r="J59" s="78"/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</row>
    <row r="60">
      <c r="A60" s="17">
        <v>1.0</v>
      </c>
      <c r="B60" s="19" t="s">
        <v>193</v>
      </c>
      <c r="C60" s="17" t="s">
        <v>46</v>
      </c>
      <c r="D60" s="17" t="s">
        <v>750</v>
      </c>
      <c r="E60" s="80" t="s">
        <v>197</v>
      </c>
      <c r="F60" s="11"/>
      <c r="G60" s="14" t="s">
        <v>752</v>
      </c>
      <c r="H60" s="23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>
      <c r="A61" s="17">
        <v>1.0</v>
      </c>
      <c r="B61" s="19" t="s">
        <v>753</v>
      </c>
      <c r="C61" s="17" t="s">
        <v>46</v>
      </c>
      <c r="D61" s="19"/>
      <c r="E61" s="23"/>
      <c r="F61" s="11"/>
      <c r="G61" s="23"/>
      <c r="H61" s="23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>
      <c r="A62" s="25">
        <v>1.0</v>
      </c>
      <c r="B62" s="27" t="s">
        <v>754</v>
      </c>
      <c r="C62" s="27" t="s">
        <v>389</v>
      </c>
      <c r="D62" s="27" t="s">
        <v>173</v>
      </c>
      <c r="E62" s="23"/>
      <c r="F62" s="11"/>
      <c r="G62" s="11"/>
      <c r="H62" s="23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>
      <c r="A63" s="25">
        <v>1.0</v>
      </c>
      <c r="B63" s="27" t="s">
        <v>204</v>
      </c>
      <c r="C63" s="27" t="s">
        <v>389</v>
      </c>
      <c r="D63" s="27"/>
      <c r="E63" s="23"/>
      <c r="F63" s="11"/>
      <c r="G63" s="11"/>
      <c r="H63" s="23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>
      <c r="A64" s="17">
        <v>1.0</v>
      </c>
      <c r="B64" s="17" t="s">
        <v>437</v>
      </c>
      <c r="C64" s="27" t="s">
        <v>171</v>
      </c>
      <c r="D64" s="17"/>
      <c r="E64" s="52" t="s">
        <v>755</v>
      </c>
      <c r="F64" s="14" t="s">
        <v>756</v>
      </c>
      <c r="G64" s="11"/>
      <c r="H64" s="23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>
      <c r="A65" s="81">
        <v>1.0</v>
      </c>
      <c r="B65" s="82" t="s">
        <v>757</v>
      </c>
      <c r="C65" s="82"/>
      <c r="D65" s="83" t="s">
        <v>758</v>
      </c>
      <c r="E65" s="40"/>
      <c r="F65" s="11"/>
      <c r="G65" s="11"/>
      <c r="H65" s="23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>
      <c r="A66" s="11"/>
      <c r="B66" s="11" t="s">
        <v>765</v>
      </c>
      <c r="C66" s="11"/>
      <c r="D66" s="61" t="s">
        <v>766</v>
      </c>
      <c r="E66" s="40" t="s">
        <v>768</v>
      </c>
      <c r="F66" s="14" t="s">
        <v>528</v>
      </c>
      <c r="G66" s="11"/>
      <c r="H66" s="23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>
      <c r="A67" s="25">
        <v>1.0</v>
      </c>
      <c r="B67" s="27" t="s">
        <v>771</v>
      </c>
      <c r="C67" s="27" t="s">
        <v>46</v>
      </c>
      <c r="D67" s="27"/>
      <c r="E67" s="23"/>
      <c r="F67" s="11"/>
      <c r="G67" s="11"/>
      <c r="H67" s="23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>
      <c r="A68" s="25">
        <v>1.0</v>
      </c>
      <c r="B68" s="27" t="s">
        <v>214</v>
      </c>
      <c r="C68" s="27" t="s">
        <v>46</v>
      </c>
      <c r="D68" s="27"/>
      <c r="E68" s="23"/>
      <c r="F68" s="11"/>
      <c r="G68" s="11"/>
      <c r="H68" s="23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>
      <c r="A69" s="17">
        <v>1.0</v>
      </c>
      <c r="B69" s="19" t="s">
        <v>780</v>
      </c>
      <c r="C69" s="17" t="s">
        <v>46</v>
      </c>
      <c r="D69" s="19"/>
      <c r="E69" s="52" t="s">
        <v>783</v>
      </c>
      <c r="F69" s="11"/>
      <c r="G69" s="11"/>
      <c r="H69" s="23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>
      <c r="A70" s="43">
        <v>1.0</v>
      </c>
      <c r="B70" s="32" t="s">
        <v>786</v>
      </c>
      <c r="C70" s="32"/>
      <c r="D70" s="48" t="s">
        <v>788</v>
      </c>
      <c r="E70" s="87" t="s">
        <v>791</v>
      </c>
      <c r="F70" s="11" t="s">
        <v>265</v>
      </c>
      <c r="G70" s="11"/>
      <c r="H70" s="23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>
      <c r="A71" s="17">
        <v>1.0</v>
      </c>
      <c r="B71" s="19" t="s">
        <v>221</v>
      </c>
      <c r="C71" s="17" t="s">
        <v>216</v>
      </c>
      <c r="D71" s="17" t="s">
        <v>799</v>
      </c>
      <c r="E71" s="52" t="s">
        <v>800</v>
      </c>
      <c r="F71" s="14" t="s">
        <v>802</v>
      </c>
      <c r="G71" s="11"/>
      <c r="H71" s="23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>
      <c r="A72" s="25">
        <v>1.0</v>
      </c>
      <c r="B72" s="27" t="s">
        <v>223</v>
      </c>
      <c r="C72" s="27" t="s">
        <v>46</v>
      </c>
      <c r="D72" s="27"/>
      <c r="E72" s="23"/>
      <c r="F72" s="11"/>
      <c r="G72" s="11"/>
      <c r="H72" s="23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>
      <c r="A73" s="17">
        <v>1.0</v>
      </c>
      <c r="B73" s="19" t="s">
        <v>813</v>
      </c>
      <c r="C73" s="17" t="s">
        <v>46</v>
      </c>
      <c r="D73" s="19"/>
      <c r="E73" s="23"/>
      <c r="F73" s="11"/>
      <c r="G73" s="11"/>
      <c r="H73" s="23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>
      <c r="A74" s="25">
        <v>1.0</v>
      </c>
      <c r="B74" s="27" t="s">
        <v>259</v>
      </c>
      <c r="C74" s="27" t="s">
        <v>46</v>
      </c>
      <c r="D74" s="27"/>
      <c r="E74" s="23"/>
      <c r="F74" s="11"/>
      <c r="G74" s="11"/>
      <c r="H74" s="23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>
      <c r="A75" s="25">
        <v>1.0</v>
      </c>
      <c r="B75" s="27" t="s">
        <v>229</v>
      </c>
      <c r="C75" s="27" t="s">
        <v>46</v>
      </c>
      <c r="D75" s="27"/>
      <c r="E75" s="23"/>
      <c r="F75" s="11"/>
      <c r="G75" s="11"/>
      <c r="H75" s="23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>
      <c r="A76" s="17">
        <v>1.0</v>
      </c>
      <c r="B76" s="17" t="s">
        <v>238</v>
      </c>
      <c r="C76" s="17" t="s">
        <v>46</v>
      </c>
      <c r="D76" s="17" t="s">
        <v>842</v>
      </c>
      <c r="E76" s="52" t="s">
        <v>241</v>
      </c>
      <c r="F76" s="14" t="s">
        <v>846</v>
      </c>
      <c r="G76" s="11"/>
      <c r="H76" s="23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>
      <c r="A77" s="17">
        <v>1.0</v>
      </c>
      <c r="B77" s="19" t="s">
        <v>851</v>
      </c>
      <c r="C77" s="17" t="s">
        <v>46</v>
      </c>
      <c r="D77" s="17" t="s">
        <v>853</v>
      </c>
      <c r="E77" s="52" t="s">
        <v>855</v>
      </c>
      <c r="F77" s="14"/>
      <c r="G77" s="11"/>
      <c r="H77" s="23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>
      <c r="A78" s="17">
        <v>1.0</v>
      </c>
      <c r="B78" s="19" t="s">
        <v>232</v>
      </c>
      <c r="C78" s="17" t="s">
        <v>46</v>
      </c>
      <c r="D78" s="17" t="s">
        <v>866</v>
      </c>
      <c r="E78" s="52" t="s">
        <v>868</v>
      </c>
      <c r="F78" s="11"/>
      <c r="G78" s="11"/>
      <c r="H78" s="23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>
      <c r="A79" s="25">
        <v>1.0</v>
      </c>
      <c r="B79" s="27" t="s">
        <v>250</v>
      </c>
      <c r="C79" s="27" t="s">
        <v>389</v>
      </c>
      <c r="D79" s="27"/>
      <c r="E79" s="23"/>
      <c r="F79" s="11"/>
      <c r="G79" s="11"/>
      <c r="H79" s="23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>
      <c r="A80" s="25">
        <v>1.0</v>
      </c>
      <c r="B80" s="27" t="s">
        <v>235</v>
      </c>
      <c r="C80" s="27" t="s">
        <v>46</v>
      </c>
      <c r="D80" s="27"/>
      <c r="E80" s="23"/>
      <c r="F80" s="11"/>
      <c r="G80" s="11"/>
      <c r="H80" s="23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7">
        <v>1.0</v>
      </c>
      <c r="B81" s="19" t="s">
        <v>875</v>
      </c>
      <c r="C81" s="17" t="s">
        <v>46</v>
      </c>
      <c r="D81" s="17" t="s">
        <v>876</v>
      </c>
      <c r="E81" s="52" t="s">
        <v>878</v>
      </c>
      <c r="F81" s="11" t="s">
        <v>265</v>
      </c>
      <c r="G81" s="11"/>
      <c r="H81" s="23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>
      <c r="A82" s="17">
        <v>1.0</v>
      </c>
      <c r="B82" s="19" t="s">
        <v>883</v>
      </c>
      <c r="C82" s="17" t="s">
        <v>46</v>
      </c>
      <c r="D82" s="19"/>
      <c r="E82" s="23"/>
      <c r="F82" s="11"/>
      <c r="G82" s="11"/>
      <c r="H82" s="23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>
      <c r="A83" s="25">
        <v>1.0</v>
      </c>
      <c r="B83" s="25" t="s">
        <v>256</v>
      </c>
      <c r="C83" s="25" t="s">
        <v>46</v>
      </c>
      <c r="D83" s="25" t="s">
        <v>889</v>
      </c>
      <c r="E83" s="52" t="s">
        <v>890</v>
      </c>
      <c r="F83" s="11"/>
      <c r="G83" s="11"/>
      <c r="H83" s="23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>
      <c r="A84" s="25">
        <v>1.0</v>
      </c>
      <c r="B84" s="27" t="s">
        <v>261</v>
      </c>
      <c r="C84" s="27" t="s">
        <v>46</v>
      </c>
      <c r="D84" s="27"/>
      <c r="E84" s="23"/>
      <c r="F84" s="11"/>
      <c r="G84" s="11"/>
      <c r="H84" s="23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>
      <c r="A85" s="17">
        <v>1.0</v>
      </c>
      <c r="B85" s="19" t="s">
        <v>898</v>
      </c>
      <c r="C85" s="27" t="s">
        <v>46</v>
      </c>
      <c r="D85" s="17"/>
      <c r="E85" s="52" t="s">
        <v>902</v>
      </c>
      <c r="F85" s="11"/>
      <c r="G85" s="11"/>
      <c r="H85" s="23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>
      <c r="A86" s="17">
        <v>1.0</v>
      </c>
      <c r="B86" s="19" t="s">
        <v>909</v>
      </c>
      <c r="C86" s="17" t="s">
        <v>46</v>
      </c>
      <c r="D86" s="17" t="s">
        <v>910</v>
      </c>
      <c r="E86" s="52" t="s">
        <v>912</v>
      </c>
      <c r="F86" s="11"/>
      <c r="G86" s="11"/>
      <c r="H86" s="23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>
      <c r="A87" s="17">
        <v>1.0</v>
      </c>
      <c r="B87" s="19" t="s">
        <v>915</v>
      </c>
      <c r="C87" s="17" t="s">
        <v>46</v>
      </c>
      <c r="D87" s="19"/>
      <c r="E87" s="52" t="s">
        <v>918</v>
      </c>
      <c r="F87" s="14" t="s">
        <v>373</v>
      </c>
      <c r="G87" s="11"/>
      <c r="H87" s="23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>
      <c r="A88" s="17">
        <v>1.0</v>
      </c>
      <c r="B88" s="19" t="s">
        <v>266</v>
      </c>
      <c r="C88" s="17" t="s">
        <v>46</v>
      </c>
      <c r="D88" s="19"/>
      <c r="E88" s="23"/>
      <c r="F88" s="11"/>
      <c r="G88" s="11"/>
      <c r="H88" s="23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>
      <c r="A89" s="25">
        <v>1.0</v>
      </c>
      <c r="B89" s="27" t="s">
        <v>929</v>
      </c>
      <c r="C89" s="27" t="s">
        <v>46</v>
      </c>
      <c r="D89" s="27"/>
      <c r="E89" s="23"/>
      <c r="F89" s="11"/>
      <c r="G89" s="11"/>
      <c r="H89" s="23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>
      <c r="A90" s="25">
        <v>1.0</v>
      </c>
      <c r="B90" s="63" t="s">
        <v>933</v>
      </c>
      <c r="C90" s="63" t="s">
        <v>46</v>
      </c>
      <c r="D90" s="27"/>
      <c r="E90" s="23"/>
      <c r="F90" s="11"/>
      <c r="G90" s="11"/>
      <c r="H90" s="23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>
      <c r="A91" s="25">
        <v>1.0</v>
      </c>
      <c r="B91" s="27" t="s">
        <v>273</v>
      </c>
      <c r="C91" s="27" t="s">
        <v>46</v>
      </c>
      <c r="D91" s="27"/>
      <c r="E91" s="23"/>
      <c r="F91" s="11"/>
      <c r="G91" s="11"/>
      <c r="H91" s="23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>
      <c r="A92" s="17">
        <v>1.0</v>
      </c>
      <c r="B92" s="17" t="s">
        <v>280</v>
      </c>
      <c r="C92" s="17" t="s">
        <v>46</v>
      </c>
      <c r="D92" s="17"/>
      <c r="E92" s="52" t="s">
        <v>621</v>
      </c>
      <c r="F92" s="14" t="s">
        <v>281</v>
      </c>
      <c r="G92" s="11"/>
      <c r="H92" s="23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>
      <c r="A93" s="17">
        <v>1.0</v>
      </c>
      <c r="B93" s="17" t="s">
        <v>942</v>
      </c>
      <c r="C93" s="17" t="s">
        <v>46</v>
      </c>
      <c r="D93" s="92"/>
      <c r="E93" s="40"/>
      <c r="F93" s="14" t="s">
        <v>944</v>
      </c>
      <c r="G93" s="14"/>
      <c r="H93" s="23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>
      <c r="A94" s="17">
        <v>1.0</v>
      </c>
      <c r="B94" s="17" t="s">
        <v>278</v>
      </c>
      <c r="C94" s="17" t="s">
        <v>949</v>
      </c>
      <c r="D94" s="76"/>
      <c r="E94" s="52"/>
      <c r="F94" s="14"/>
      <c r="G94" s="11"/>
      <c r="H94" s="23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>
      <c r="A95" s="17">
        <v>1.0</v>
      </c>
      <c r="B95" s="19" t="s">
        <v>954</v>
      </c>
      <c r="C95" s="17" t="s">
        <v>46</v>
      </c>
      <c r="D95" s="17"/>
      <c r="E95" s="52" t="s">
        <v>956</v>
      </c>
      <c r="F95" s="14" t="s">
        <v>957</v>
      </c>
      <c r="G95" s="11"/>
      <c r="H95" s="23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>
      <c r="A96" s="17">
        <v>1.0</v>
      </c>
      <c r="B96" s="19" t="s">
        <v>964</v>
      </c>
      <c r="C96" s="17" t="s">
        <v>46</v>
      </c>
      <c r="D96" s="19"/>
      <c r="E96" s="23"/>
      <c r="F96" s="14" t="s">
        <v>966</v>
      </c>
      <c r="G96" s="11"/>
      <c r="H96" s="23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>
      <c r="A97" s="17">
        <v>1.0</v>
      </c>
      <c r="B97" s="17" t="s">
        <v>467</v>
      </c>
      <c r="C97" s="17" t="s">
        <v>46</v>
      </c>
      <c r="D97" s="17" t="s">
        <v>973</v>
      </c>
      <c r="E97" s="52" t="s">
        <v>975</v>
      </c>
      <c r="F97" s="14" t="s">
        <v>436</v>
      </c>
      <c r="G97" s="11"/>
      <c r="H97" s="23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>
      <c r="A98" s="17">
        <v>1.0</v>
      </c>
      <c r="B98" s="19" t="s">
        <v>979</v>
      </c>
      <c r="C98" s="17" t="s">
        <v>46</v>
      </c>
      <c r="D98" s="17" t="s">
        <v>980</v>
      </c>
      <c r="E98" s="52" t="s">
        <v>981</v>
      </c>
      <c r="F98" s="14" t="s">
        <v>373</v>
      </c>
      <c r="G98" s="11"/>
      <c r="H98" s="23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>
      <c r="A99" s="17">
        <v>1.0</v>
      </c>
      <c r="B99" s="17" t="s">
        <v>287</v>
      </c>
      <c r="C99" s="17" t="s">
        <v>46</v>
      </c>
      <c r="D99" s="51" t="s">
        <v>986</v>
      </c>
      <c r="E99" s="14" t="s">
        <v>290</v>
      </c>
      <c r="F99" s="23"/>
      <c r="G99" s="11"/>
      <c r="H99" s="23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>
      <c r="A100" s="25">
        <v>1.0</v>
      </c>
      <c r="B100" s="27" t="s">
        <v>475</v>
      </c>
      <c r="C100" s="63" t="s">
        <v>366</v>
      </c>
      <c r="D100" s="27"/>
      <c r="E100" s="23"/>
      <c r="F100" s="11"/>
      <c r="G100" s="11"/>
      <c r="H100" s="23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>
      <c r="A101" s="11"/>
      <c r="B101" s="11" t="s">
        <v>993</v>
      </c>
      <c r="C101" s="11"/>
      <c r="D101" s="93" t="s">
        <v>995</v>
      </c>
      <c r="E101" s="40" t="s">
        <v>998</v>
      </c>
      <c r="F101" s="14" t="s">
        <v>999</v>
      </c>
      <c r="G101" s="11"/>
      <c r="H101" s="23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>
      <c r="A102" s="17">
        <v>1.0</v>
      </c>
      <c r="B102" s="19" t="s">
        <v>1004</v>
      </c>
      <c r="C102" s="17" t="s">
        <v>46</v>
      </c>
      <c r="D102" s="19"/>
      <c r="E102" s="23"/>
      <c r="F102" s="11"/>
      <c r="G102" s="11"/>
      <c r="H102" s="23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>
      <c r="A103" s="17">
        <v>1.0</v>
      </c>
      <c r="B103" s="17" t="s">
        <v>302</v>
      </c>
      <c r="C103" s="17" t="s">
        <v>46</v>
      </c>
      <c r="D103" s="17" t="s">
        <v>1012</v>
      </c>
      <c r="E103" s="52" t="s">
        <v>1013</v>
      </c>
      <c r="F103" s="11"/>
      <c r="G103" s="11"/>
      <c r="H103" s="23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>
      <c r="A104" s="25">
        <v>1.0</v>
      </c>
      <c r="B104" s="27" t="s">
        <v>308</v>
      </c>
      <c r="C104" s="27" t="s">
        <v>46</v>
      </c>
      <c r="D104" s="27"/>
      <c r="E104" s="23"/>
      <c r="F104" s="11"/>
      <c r="G104" s="14"/>
      <c r="H104" s="23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>
      <c r="A105" s="17">
        <v>1.0</v>
      </c>
      <c r="B105" s="19" t="s">
        <v>313</v>
      </c>
      <c r="C105" s="55" t="s">
        <v>35</v>
      </c>
      <c r="D105" s="19"/>
      <c r="E105" s="52" t="s">
        <v>316</v>
      </c>
      <c r="F105" s="41"/>
      <c r="G105" s="42" t="s">
        <v>752</v>
      </c>
      <c r="H105" s="52" t="s">
        <v>1024</v>
      </c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>
      <c r="A106" s="25">
        <v>1.0</v>
      </c>
      <c r="B106" s="27" t="s">
        <v>1029</v>
      </c>
      <c r="C106" s="27" t="s">
        <v>46</v>
      </c>
      <c r="D106" s="27"/>
      <c r="E106" s="23"/>
      <c r="F106" s="11"/>
      <c r="G106" s="11"/>
      <c r="H106" s="23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>
      <c r="A107" s="25">
        <v>1.0</v>
      </c>
      <c r="B107" s="27" t="s">
        <v>938</v>
      </c>
      <c r="C107" s="27" t="s">
        <v>46</v>
      </c>
      <c r="D107" s="27"/>
      <c r="E107" s="23"/>
      <c r="F107" s="11"/>
      <c r="G107" s="11"/>
      <c r="H107" s="23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>
      <c r="A108" s="17">
        <v>1.0</v>
      </c>
      <c r="B108" s="17" t="s">
        <v>1041</v>
      </c>
      <c r="C108" s="17" t="s">
        <v>389</v>
      </c>
      <c r="D108" s="19"/>
      <c r="E108" s="52" t="s">
        <v>1045</v>
      </c>
      <c r="F108" s="14" t="s">
        <v>1046</v>
      </c>
      <c r="G108" s="11"/>
      <c r="H108" s="23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>
      <c r="A109" s="81">
        <v>1.0</v>
      </c>
      <c r="B109" s="82" t="s">
        <v>1056</v>
      </c>
      <c r="C109" s="82"/>
      <c r="D109" s="95" t="s">
        <v>758</v>
      </c>
      <c r="E109" s="40" t="s">
        <v>1066</v>
      </c>
      <c r="F109" s="11" t="s">
        <v>265</v>
      </c>
      <c r="G109" s="11"/>
      <c r="H109" s="23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>
      <c r="A110" s="17">
        <v>1.0</v>
      </c>
      <c r="B110" s="17" t="s">
        <v>295</v>
      </c>
      <c r="C110" s="17" t="s">
        <v>46</v>
      </c>
      <c r="D110" s="96"/>
      <c r="E110" s="52" t="s">
        <v>1084</v>
      </c>
      <c r="F110" s="14" t="s">
        <v>1085</v>
      </c>
      <c r="G110" s="11"/>
      <c r="H110" s="23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>
      <c r="A111" s="25">
        <v>1.0</v>
      </c>
      <c r="B111" s="27" t="s">
        <v>323</v>
      </c>
      <c r="C111" s="27" t="s">
        <v>46</v>
      </c>
      <c r="D111" s="27"/>
      <c r="E111" s="23"/>
      <c r="F111" s="11"/>
      <c r="G111" s="11"/>
      <c r="H111" s="23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>
      <c r="A112" s="25">
        <v>1.0</v>
      </c>
      <c r="B112" s="27" t="s">
        <v>1096</v>
      </c>
      <c r="C112" s="27" t="s">
        <v>46</v>
      </c>
      <c r="D112" s="27"/>
      <c r="E112" s="23"/>
      <c r="F112" s="11"/>
      <c r="G112" s="11"/>
      <c r="H112" s="23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>
      <c r="A113" s="17">
        <v>1.0</v>
      </c>
      <c r="B113" s="19" t="s">
        <v>1102</v>
      </c>
      <c r="C113" s="17" t="s">
        <v>46</v>
      </c>
      <c r="D113" s="25" t="s">
        <v>1103</v>
      </c>
      <c r="E113" s="52" t="s">
        <v>1104</v>
      </c>
      <c r="F113" s="14" t="s">
        <v>528</v>
      </c>
      <c r="G113" s="11"/>
      <c r="H113" s="23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>
      <c r="A114" s="43">
        <v>1.0</v>
      </c>
      <c r="B114" s="32" t="s">
        <v>339</v>
      </c>
      <c r="C114" s="32"/>
      <c r="D114" s="98" t="s">
        <v>1109</v>
      </c>
      <c r="E114" s="40" t="s">
        <v>1115</v>
      </c>
      <c r="F114" s="14" t="s">
        <v>528</v>
      </c>
      <c r="G114" s="11"/>
      <c r="H114" s="23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>
      <c r="A115" s="81">
        <v>1.0</v>
      </c>
      <c r="B115" s="82" t="s">
        <v>1123</v>
      </c>
      <c r="C115" s="82"/>
      <c r="D115" s="95" t="s">
        <v>1125</v>
      </c>
      <c r="E115" s="40" t="s">
        <v>1127</v>
      </c>
      <c r="F115" s="14" t="s">
        <v>1129</v>
      </c>
      <c r="G115" s="11"/>
      <c r="H115" s="23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>
      <c r="A116" s="17">
        <v>1.0</v>
      </c>
      <c r="B116" s="19" t="s">
        <v>335</v>
      </c>
      <c r="C116" s="27" t="s">
        <v>46</v>
      </c>
      <c r="D116" s="27"/>
      <c r="E116" s="23"/>
      <c r="F116" s="11" t="s">
        <v>528</v>
      </c>
      <c r="G116" s="14" t="s">
        <v>1141</v>
      </c>
      <c r="H116" s="23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>
      <c r="A117" s="17">
        <v>1.0</v>
      </c>
      <c r="B117" s="19" t="s">
        <v>1149</v>
      </c>
      <c r="C117" s="51" t="s">
        <v>35</v>
      </c>
      <c r="D117" s="19"/>
      <c r="E117" s="23"/>
      <c r="F117" s="14" t="s">
        <v>1151</v>
      </c>
      <c r="G117" s="11"/>
      <c r="H117" s="23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>
      <c r="A118" s="25">
        <v>1.0</v>
      </c>
      <c r="B118" s="27" t="s">
        <v>341</v>
      </c>
      <c r="C118" s="27" t="s">
        <v>46</v>
      </c>
      <c r="D118" s="27"/>
      <c r="E118" s="23"/>
      <c r="F118" s="11"/>
      <c r="G118" s="11"/>
      <c r="H118" s="23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>
      <c r="A119" s="17">
        <v>1.0</v>
      </c>
      <c r="B119" s="19" t="s">
        <v>1174</v>
      </c>
      <c r="C119" s="17" t="s">
        <v>46</v>
      </c>
      <c r="D119" s="19"/>
      <c r="E119" s="23"/>
      <c r="F119" s="11" t="s">
        <v>528</v>
      </c>
      <c r="G119" s="11"/>
      <c r="H119" s="23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>
      <c r="A120" s="25">
        <v>1.0</v>
      </c>
      <c r="B120" s="27" t="s">
        <v>1184</v>
      </c>
      <c r="C120" s="63" t="s">
        <v>46</v>
      </c>
      <c r="D120" s="63" t="s">
        <v>1188</v>
      </c>
      <c r="E120" s="23"/>
      <c r="F120" s="11"/>
      <c r="G120" s="11"/>
      <c r="H120" s="23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>
      <c r="A121" s="25">
        <v>1.0</v>
      </c>
      <c r="B121" s="27" t="s">
        <v>1065</v>
      </c>
      <c r="C121" s="27" t="s">
        <v>1200</v>
      </c>
      <c r="D121" s="27"/>
      <c r="E121" s="23"/>
      <c r="F121" s="11"/>
      <c r="G121" s="11"/>
      <c r="H121" s="23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>
      <c r="A122" s="25">
        <v>1.0</v>
      </c>
      <c r="B122" s="63" t="s">
        <v>351</v>
      </c>
      <c r="C122" s="63" t="s">
        <v>366</v>
      </c>
      <c r="D122" s="27"/>
      <c r="E122" s="23"/>
      <c r="F122" s="11"/>
      <c r="G122" s="11"/>
      <c r="H122" s="23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>
      <c r="A123" s="25">
        <v>1.0</v>
      </c>
      <c r="B123" s="63" t="s">
        <v>354</v>
      </c>
      <c r="C123" s="63" t="s">
        <v>46</v>
      </c>
      <c r="D123" s="63" t="s">
        <v>1214</v>
      </c>
      <c r="E123" s="14" t="s">
        <v>356</v>
      </c>
      <c r="F123" s="14" t="s">
        <v>436</v>
      </c>
      <c r="G123" s="11"/>
      <c r="H123" s="23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>
      <c r="A124" s="25">
        <v>1.0</v>
      </c>
      <c r="B124" s="27" t="s">
        <v>372</v>
      </c>
      <c r="C124" s="27" t="s">
        <v>46</v>
      </c>
      <c r="D124" s="27" t="s">
        <v>173</v>
      </c>
      <c r="E124" s="23"/>
      <c r="F124" s="11"/>
      <c r="G124" s="11"/>
      <c r="H124" s="23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>
      <c r="A125" s="25">
        <v>1.0</v>
      </c>
      <c r="B125" s="27" t="s">
        <v>1225</v>
      </c>
      <c r="C125" s="27" t="s">
        <v>389</v>
      </c>
      <c r="D125" s="27"/>
      <c r="E125" s="23"/>
      <c r="F125" s="14" t="s">
        <v>1226</v>
      </c>
      <c r="G125" s="11"/>
      <c r="H125" s="23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>
      <c r="A126" s="25">
        <v>1.0</v>
      </c>
      <c r="B126" s="27" t="s">
        <v>1227</v>
      </c>
      <c r="C126" s="27" t="s">
        <v>46</v>
      </c>
      <c r="D126" s="27" t="s">
        <v>173</v>
      </c>
      <c r="E126" s="23"/>
      <c r="F126" s="11"/>
      <c r="G126" s="11"/>
      <c r="H126" s="23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>
      <c r="A127" s="76">
        <v>1.0</v>
      </c>
      <c r="B127" s="76" t="s">
        <v>1228</v>
      </c>
      <c r="C127" s="76" t="s">
        <v>46</v>
      </c>
      <c r="D127" s="76" t="s">
        <v>1229</v>
      </c>
      <c r="E127" s="52" t="s">
        <v>1230</v>
      </c>
      <c r="F127" s="79" t="s">
        <v>1231</v>
      </c>
      <c r="G127" s="79" t="s">
        <v>752</v>
      </c>
      <c r="H127" s="52"/>
      <c r="I127" s="78"/>
      <c r="J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  <c r="V127" s="78"/>
      <c r="W127" s="78"/>
      <c r="X127" s="78"/>
      <c r="Y127" s="78"/>
      <c r="Z127" s="78"/>
      <c r="AA127" s="78"/>
      <c r="AB127" s="78"/>
    </row>
    <row r="128">
      <c r="A128" s="43">
        <v>1.0</v>
      </c>
      <c r="B128" s="32" t="s">
        <v>1232</v>
      </c>
      <c r="C128" s="32"/>
      <c r="D128" s="48" t="s">
        <v>1233</v>
      </c>
      <c r="E128" s="40" t="s">
        <v>1234</v>
      </c>
      <c r="F128" s="11" t="s">
        <v>528</v>
      </c>
      <c r="G128" s="11"/>
      <c r="H128" s="23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>
      <c r="A129" s="25">
        <v>1.0</v>
      </c>
      <c r="B129" s="25" t="s">
        <v>985</v>
      </c>
      <c r="C129" s="25" t="s">
        <v>46</v>
      </c>
      <c r="D129" s="25" t="s">
        <v>1235</v>
      </c>
      <c r="E129" s="52" t="s">
        <v>987</v>
      </c>
      <c r="F129" s="14" t="s">
        <v>1236</v>
      </c>
      <c r="G129" s="11"/>
      <c r="H129" s="23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>
      <c r="A130" s="25">
        <v>1.0</v>
      </c>
      <c r="B130" s="27" t="s">
        <v>1237</v>
      </c>
      <c r="C130" s="27" t="s">
        <v>46</v>
      </c>
      <c r="D130" s="27"/>
      <c r="E130" s="23"/>
      <c r="F130" s="11"/>
      <c r="G130" s="11"/>
      <c r="H130" s="23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>
      <c r="A131" s="25">
        <v>1.0</v>
      </c>
      <c r="B131" s="27" t="s">
        <v>1087</v>
      </c>
      <c r="C131" s="27" t="s">
        <v>1200</v>
      </c>
      <c r="D131" s="27"/>
      <c r="E131" s="23"/>
      <c r="F131" s="11"/>
      <c r="G131" s="11"/>
      <c r="H131" s="23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>
      <c r="A132" s="102"/>
      <c r="B132" s="102" t="s">
        <v>991</v>
      </c>
      <c r="C132" s="102"/>
      <c r="D132" s="103" t="s">
        <v>1238</v>
      </c>
      <c r="E132" s="40" t="s">
        <v>1239</v>
      </c>
      <c r="F132" s="14" t="s">
        <v>1240</v>
      </c>
      <c r="G132" s="11"/>
      <c r="H132" s="23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>
      <c r="A133" s="17">
        <v>1.0</v>
      </c>
      <c r="B133" s="19" t="s">
        <v>390</v>
      </c>
      <c r="C133" s="17" t="s">
        <v>46</v>
      </c>
      <c r="D133" s="19" t="s">
        <v>995</v>
      </c>
      <c r="E133" s="104"/>
      <c r="F133" s="41"/>
      <c r="G133" s="42" t="s">
        <v>752</v>
      </c>
      <c r="H133" s="23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>
      <c r="A134" s="17">
        <v>1.0</v>
      </c>
      <c r="B134" s="17" t="s">
        <v>369</v>
      </c>
      <c r="C134" s="17" t="s">
        <v>46</v>
      </c>
      <c r="D134" s="17" t="s">
        <v>1214</v>
      </c>
      <c r="E134" s="52" t="s">
        <v>374</v>
      </c>
      <c r="F134" s="14" t="s">
        <v>436</v>
      </c>
      <c r="G134" s="11"/>
      <c r="H134" s="23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>
      <c r="A135" s="2"/>
      <c r="B135" s="2" t="s">
        <v>399</v>
      </c>
      <c r="D135" s="47" t="s">
        <v>1089</v>
      </c>
      <c r="E135" s="2" t="s">
        <v>1241</v>
      </c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>
      <c r="A136" s="17">
        <v>1.0</v>
      </c>
      <c r="B136" s="19" t="s">
        <v>1128</v>
      </c>
      <c r="C136" s="17" t="s">
        <v>46</v>
      </c>
      <c r="D136" s="17" t="s">
        <v>1242</v>
      </c>
      <c r="E136" s="52" t="s">
        <v>1243</v>
      </c>
      <c r="F136" s="14" t="s">
        <v>528</v>
      </c>
      <c r="G136" s="11"/>
      <c r="H136" s="23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>
      <c r="A137" s="17">
        <v>1.0</v>
      </c>
      <c r="B137" s="19" t="s">
        <v>402</v>
      </c>
      <c r="C137" s="17" t="s">
        <v>46</v>
      </c>
      <c r="D137" s="19" t="s">
        <v>995</v>
      </c>
      <c r="E137" s="104"/>
      <c r="F137" s="41"/>
      <c r="G137" s="42" t="s">
        <v>752</v>
      </c>
      <c r="H137" s="23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>
      <c r="A138" s="25">
        <v>1.0</v>
      </c>
      <c r="B138" s="25" t="s">
        <v>406</v>
      </c>
      <c r="C138" s="25" t="s">
        <v>46</v>
      </c>
      <c r="D138" s="76" t="s">
        <v>1244</v>
      </c>
      <c r="E138" s="52" t="s">
        <v>1245</v>
      </c>
      <c r="F138" s="14"/>
      <c r="G138" s="14" t="s">
        <v>1246</v>
      </c>
      <c r="H138" s="23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>
      <c r="A139" s="25">
        <v>1.0</v>
      </c>
      <c r="B139" s="27" t="s">
        <v>1247</v>
      </c>
      <c r="C139" s="27" t="s">
        <v>46</v>
      </c>
      <c r="D139" s="27"/>
      <c r="E139" s="23"/>
      <c r="F139" s="11"/>
      <c r="G139" s="11"/>
      <c r="H139" s="23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>
      <c r="A140" s="25">
        <v>1.0</v>
      </c>
      <c r="B140" s="63" t="s">
        <v>1248</v>
      </c>
      <c r="C140" s="63" t="s">
        <v>46</v>
      </c>
      <c r="D140" s="63" t="s">
        <v>1249</v>
      </c>
      <c r="E140" s="52" t="s">
        <v>1250</v>
      </c>
      <c r="F140" s="14" t="s">
        <v>1251</v>
      </c>
      <c r="G140" s="11"/>
      <c r="H140" s="23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>
      <c r="A141" s="25">
        <v>1.0</v>
      </c>
      <c r="B141" s="27" t="s">
        <v>385</v>
      </c>
      <c r="C141" s="27" t="s">
        <v>46</v>
      </c>
      <c r="D141" s="27"/>
      <c r="E141" s="23"/>
      <c r="F141" s="11"/>
      <c r="G141" s="11"/>
      <c r="H141" s="23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>
      <c r="A142" s="25">
        <v>1.0</v>
      </c>
      <c r="B142" s="27" t="s">
        <v>391</v>
      </c>
      <c r="C142" s="27" t="s">
        <v>46</v>
      </c>
      <c r="D142" s="27"/>
      <c r="E142" s="23"/>
      <c r="F142" s="11"/>
      <c r="G142" s="11"/>
      <c r="H142" s="23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>
      <c r="A143" s="25">
        <v>1.0</v>
      </c>
      <c r="B143" s="63" t="s">
        <v>396</v>
      </c>
      <c r="C143" s="63" t="s">
        <v>46</v>
      </c>
      <c r="D143" s="63" t="s">
        <v>621</v>
      </c>
      <c r="E143" s="23"/>
      <c r="F143" s="11"/>
      <c r="G143" s="11"/>
      <c r="H143" s="23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>
      <c r="A144" s="25">
        <v>1.0</v>
      </c>
      <c r="B144" s="27" t="s">
        <v>1252</v>
      </c>
      <c r="C144" s="27" t="s">
        <v>46</v>
      </c>
      <c r="D144" s="27"/>
      <c r="E144" s="23"/>
      <c r="F144" s="11"/>
      <c r="G144" s="11"/>
      <c r="H144" s="23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>
      <c r="A145" s="25">
        <v>1.0</v>
      </c>
      <c r="B145" s="27" t="s">
        <v>1021</v>
      </c>
      <c r="C145" s="27" t="s">
        <v>46</v>
      </c>
      <c r="D145" s="27"/>
      <c r="E145" s="52" t="s">
        <v>1253</v>
      </c>
      <c r="F145" s="11"/>
      <c r="G145" s="11"/>
      <c r="H145" s="23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>
      <c r="A146" s="17">
        <v>1.0</v>
      </c>
      <c r="B146" s="19" t="s">
        <v>1254</v>
      </c>
      <c r="C146" s="17" t="s">
        <v>389</v>
      </c>
      <c r="D146" s="17"/>
      <c r="E146" s="52"/>
      <c r="F146" s="14" t="s">
        <v>1255</v>
      </c>
      <c r="G146" s="11"/>
      <c r="H146" s="23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>
      <c r="A147" s="17">
        <v>1.0</v>
      </c>
      <c r="B147" s="19" t="s">
        <v>409</v>
      </c>
      <c r="C147" s="17" t="s">
        <v>46</v>
      </c>
      <c r="D147" s="19"/>
      <c r="E147" s="23"/>
      <c r="F147" s="11"/>
      <c r="G147" s="11"/>
      <c r="H147" s="23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>
      <c r="A148" s="105">
        <v>1.0</v>
      </c>
      <c r="B148" s="102" t="s">
        <v>1256</v>
      </c>
      <c r="C148" s="102"/>
      <c r="D148" s="48" t="s">
        <v>788</v>
      </c>
      <c r="E148" s="40" t="s">
        <v>1257</v>
      </c>
      <c r="F148" s="11" t="s">
        <v>528</v>
      </c>
      <c r="G148" s="11"/>
      <c r="H148" s="23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>
      <c r="A149" s="25">
        <v>1.0</v>
      </c>
      <c r="B149" s="27" t="s">
        <v>420</v>
      </c>
      <c r="C149" s="27" t="s">
        <v>46</v>
      </c>
      <c r="D149" s="27"/>
      <c r="E149" s="23"/>
      <c r="F149" s="11"/>
      <c r="G149" s="11"/>
      <c r="H149" s="23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>
      <c r="A150" s="25">
        <v>1.0</v>
      </c>
      <c r="B150" s="27" t="s">
        <v>451</v>
      </c>
      <c r="C150" s="27" t="s">
        <v>46</v>
      </c>
      <c r="D150" s="27"/>
      <c r="E150" s="23"/>
      <c r="F150" s="11"/>
      <c r="G150" s="11"/>
      <c r="H150" s="23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>
      <c r="A151" s="17">
        <v>1.0</v>
      </c>
      <c r="B151" s="19" t="s">
        <v>1269</v>
      </c>
      <c r="C151" s="27" t="s">
        <v>46</v>
      </c>
      <c r="D151" s="17"/>
      <c r="E151" s="52" t="s">
        <v>1272</v>
      </c>
      <c r="F151" s="14" t="s">
        <v>528</v>
      </c>
      <c r="G151" s="11"/>
      <c r="H151" s="23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>
      <c r="A152" s="25">
        <v>1.0</v>
      </c>
      <c r="B152" s="27" t="s">
        <v>425</v>
      </c>
      <c r="C152" s="27" t="s">
        <v>46</v>
      </c>
      <c r="D152" s="27"/>
      <c r="E152" s="52" t="s">
        <v>511</v>
      </c>
      <c r="F152" s="11"/>
      <c r="G152" s="11"/>
      <c r="H152" s="23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>
      <c r="A153" s="25">
        <v>1.0</v>
      </c>
      <c r="B153" s="27" t="s">
        <v>1283</v>
      </c>
      <c r="C153" s="27" t="s">
        <v>389</v>
      </c>
      <c r="D153" s="27" t="s">
        <v>173</v>
      </c>
      <c r="E153" s="23"/>
      <c r="F153" s="11"/>
      <c r="G153" s="11"/>
      <c r="H153" s="23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>
      <c r="A154" s="25">
        <v>1.0</v>
      </c>
      <c r="B154" s="27" t="s">
        <v>431</v>
      </c>
      <c r="C154" s="27" t="s">
        <v>46</v>
      </c>
      <c r="D154" s="27" t="s">
        <v>1290</v>
      </c>
      <c r="E154" s="23"/>
      <c r="F154" s="11"/>
      <c r="G154" s="11"/>
      <c r="H154" s="23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>
      <c r="A155" s="17">
        <v>1.0</v>
      </c>
      <c r="B155" s="19" t="s">
        <v>1296</v>
      </c>
      <c r="C155" s="17" t="s">
        <v>46</v>
      </c>
      <c r="D155" s="92"/>
      <c r="E155" s="52"/>
      <c r="F155" s="11"/>
      <c r="G155" s="11"/>
      <c r="H155" s="23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>
      <c r="A156" s="17">
        <v>1.0</v>
      </c>
      <c r="B156" s="19" t="s">
        <v>474</v>
      </c>
      <c r="C156" s="17" t="s">
        <v>46</v>
      </c>
      <c r="D156" s="92"/>
      <c r="E156" s="40" t="s">
        <v>1301</v>
      </c>
      <c r="F156" s="11" t="s">
        <v>528</v>
      </c>
      <c r="G156" s="11"/>
      <c r="H156" s="23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>
      <c r="A157" s="25">
        <v>1.0</v>
      </c>
      <c r="B157" s="27" t="s">
        <v>441</v>
      </c>
      <c r="C157" s="63" t="s">
        <v>209</v>
      </c>
      <c r="D157" s="27"/>
      <c r="E157" s="23"/>
      <c r="F157" s="11"/>
      <c r="G157" s="11"/>
      <c r="H157" s="23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>
      <c r="A158" s="25">
        <v>1.0</v>
      </c>
      <c r="B158" s="27" t="s">
        <v>482</v>
      </c>
      <c r="C158" s="27" t="s">
        <v>46</v>
      </c>
      <c r="D158" s="27"/>
      <c r="E158" s="23"/>
      <c r="F158" s="11"/>
      <c r="G158" s="14" t="s">
        <v>771</v>
      </c>
      <c r="H158" s="23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>
      <c r="A159" s="17">
        <v>1.0</v>
      </c>
      <c r="B159" s="19" t="s">
        <v>486</v>
      </c>
      <c r="C159" s="17" t="s">
        <v>46</v>
      </c>
      <c r="D159" s="17" t="s">
        <v>1332</v>
      </c>
      <c r="E159" s="52" t="s">
        <v>1334</v>
      </c>
      <c r="F159" s="14" t="s">
        <v>528</v>
      </c>
      <c r="G159" s="11"/>
      <c r="H159" s="23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>
      <c r="A160" s="17">
        <v>1.0</v>
      </c>
      <c r="B160" s="19" t="s">
        <v>488</v>
      </c>
      <c r="C160" s="17" t="s">
        <v>46</v>
      </c>
      <c r="D160" s="19"/>
      <c r="E160" s="23"/>
      <c r="F160" s="11"/>
      <c r="G160" s="11"/>
      <c r="H160" s="23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>
      <c r="A161" s="25">
        <v>1.0</v>
      </c>
      <c r="B161" s="27" t="s">
        <v>495</v>
      </c>
      <c r="C161" s="27" t="s">
        <v>46</v>
      </c>
      <c r="D161" s="27"/>
      <c r="E161" s="23"/>
      <c r="F161" s="11"/>
      <c r="G161" s="11"/>
      <c r="H161" s="23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>
      <c r="A162" s="17">
        <v>1.0</v>
      </c>
      <c r="B162" s="19" t="s">
        <v>502</v>
      </c>
      <c r="C162" s="19"/>
      <c r="D162" s="17" t="s">
        <v>1347</v>
      </c>
      <c r="E162" s="52" t="s">
        <v>1349</v>
      </c>
      <c r="F162" s="11"/>
      <c r="G162" s="11"/>
      <c r="H162" s="23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>
      <c r="A163" s="25">
        <v>1.0</v>
      </c>
      <c r="B163" s="27" t="s">
        <v>449</v>
      </c>
      <c r="C163" s="27" t="s">
        <v>46</v>
      </c>
      <c r="D163" s="27"/>
      <c r="E163" s="23"/>
      <c r="F163" s="11"/>
      <c r="G163" s="11"/>
      <c r="H163" s="23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>
      <c r="A164" s="25">
        <v>1.0</v>
      </c>
      <c r="B164" s="27" t="s">
        <v>460</v>
      </c>
      <c r="C164" s="27" t="s">
        <v>46</v>
      </c>
      <c r="D164" s="27"/>
      <c r="E164" s="23"/>
      <c r="F164" s="11"/>
      <c r="G164" s="11"/>
      <c r="H164" s="23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>
      <c r="A165" s="25">
        <v>1.0</v>
      </c>
      <c r="B165" s="27" t="s">
        <v>470</v>
      </c>
      <c r="C165" s="27" t="s">
        <v>46</v>
      </c>
      <c r="D165" s="27"/>
      <c r="E165" s="23"/>
      <c r="F165" s="11"/>
      <c r="G165" s="11"/>
      <c r="H165" s="23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>
      <c r="A166" s="109">
        <v>1.0</v>
      </c>
      <c r="B166" s="110" t="s">
        <v>478</v>
      </c>
      <c r="C166" s="111" t="s">
        <v>46</v>
      </c>
      <c r="D166" s="17"/>
      <c r="E166" s="112"/>
      <c r="F166" s="14" t="s">
        <v>436</v>
      </c>
      <c r="G166" s="113"/>
      <c r="H166" s="113"/>
      <c r="I166" s="114"/>
      <c r="J166" s="114"/>
      <c r="K166" s="114"/>
      <c r="L166" s="114"/>
      <c r="M166" s="114"/>
      <c r="N166" s="114"/>
      <c r="O166" s="114"/>
      <c r="P166" s="114"/>
      <c r="Q166" s="114"/>
      <c r="R166" s="114"/>
      <c r="S166" s="114"/>
      <c r="T166" s="114"/>
      <c r="U166" s="114"/>
      <c r="V166" s="114"/>
      <c r="W166" s="114"/>
      <c r="X166" s="114"/>
      <c r="Y166" s="114"/>
      <c r="Z166" s="114"/>
      <c r="AA166" s="114"/>
      <c r="AB166" s="114"/>
    </row>
    <row r="167">
      <c r="A167" s="109">
        <v>1.0</v>
      </c>
      <c r="B167" s="19" t="s">
        <v>1369</v>
      </c>
      <c r="C167" s="111" t="s">
        <v>46</v>
      </c>
      <c r="D167" s="17" t="s">
        <v>1372</v>
      </c>
      <c r="E167" s="52" t="s">
        <v>1373</v>
      </c>
      <c r="F167" s="14" t="s">
        <v>528</v>
      </c>
      <c r="G167" s="11"/>
      <c r="H167" s="23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>
      <c r="A168" s="25">
        <v>1.0</v>
      </c>
      <c r="B168" s="27" t="s">
        <v>512</v>
      </c>
      <c r="C168" s="27" t="s">
        <v>46</v>
      </c>
      <c r="D168" s="27"/>
      <c r="E168" s="23"/>
      <c r="F168" s="11"/>
      <c r="G168" s="11"/>
      <c r="H168" s="23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>
      <c r="A169" s="115">
        <v>1.0</v>
      </c>
      <c r="B169" s="116" t="s">
        <v>538</v>
      </c>
      <c r="C169" s="116" t="s">
        <v>46</v>
      </c>
      <c r="D169" s="116" t="s">
        <v>1374</v>
      </c>
      <c r="E169" s="23"/>
      <c r="F169" s="11"/>
      <c r="G169" s="11"/>
      <c r="H169" s="23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>
      <c r="A170" s="25">
        <v>1.0</v>
      </c>
      <c r="B170" s="27" t="s">
        <v>521</v>
      </c>
      <c r="C170" s="27" t="s">
        <v>46</v>
      </c>
      <c r="D170" s="27"/>
      <c r="E170" s="23"/>
      <c r="F170" s="11"/>
      <c r="G170" s="11"/>
      <c r="H170" s="23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>
      <c r="A171" s="25">
        <v>1.0</v>
      </c>
      <c r="B171" s="27" t="s">
        <v>1375</v>
      </c>
      <c r="C171" s="27" t="s">
        <v>171</v>
      </c>
      <c r="D171" s="27" t="s">
        <v>173</v>
      </c>
      <c r="E171" s="23"/>
      <c r="F171" s="11"/>
      <c r="G171" s="11"/>
      <c r="H171" s="23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>
      <c r="A172" s="17">
        <v>1.0</v>
      </c>
      <c r="B172" s="19" t="s">
        <v>1075</v>
      </c>
      <c r="C172" s="27" t="s">
        <v>46</v>
      </c>
      <c r="D172" s="17" t="s">
        <v>1244</v>
      </c>
      <c r="E172" s="23"/>
      <c r="F172" s="11"/>
      <c r="G172" s="11"/>
      <c r="H172" s="23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>
      <c r="A173" s="17">
        <v>1.0</v>
      </c>
      <c r="B173" s="19" t="s">
        <v>1376</v>
      </c>
      <c r="C173" s="17" t="s">
        <v>46</v>
      </c>
      <c r="D173" s="17" t="s">
        <v>1377</v>
      </c>
      <c r="E173" s="23"/>
      <c r="F173" s="14" t="s">
        <v>1378</v>
      </c>
      <c r="G173" s="11"/>
      <c r="H173" s="23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>
      <c r="A174" s="17">
        <v>1.0</v>
      </c>
      <c r="B174" s="19" t="s">
        <v>1379</v>
      </c>
      <c r="C174" s="27" t="s">
        <v>389</v>
      </c>
      <c r="D174" s="19"/>
      <c r="E174" s="23"/>
      <c r="F174" s="14" t="s">
        <v>756</v>
      </c>
      <c r="G174" s="11"/>
      <c r="H174" s="23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>
      <c r="A175" s="25">
        <v>1.0</v>
      </c>
      <c r="B175" s="27" t="s">
        <v>452</v>
      </c>
      <c r="C175" s="27" t="s">
        <v>46</v>
      </c>
      <c r="D175" s="27"/>
      <c r="E175" s="23"/>
      <c r="F175" s="11"/>
      <c r="G175" s="11"/>
      <c r="H175" s="23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>
      <c r="A176" s="17">
        <v>1.0</v>
      </c>
      <c r="B176" s="17" t="s">
        <v>446</v>
      </c>
      <c r="C176" s="63" t="s">
        <v>1380</v>
      </c>
      <c r="D176" s="17" t="s">
        <v>1381</v>
      </c>
      <c r="E176" s="52" t="s">
        <v>544</v>
      </c>
      <c r="F176" s="14"/>
      <c r="G176" s="11"/>
      <c r="H176" s="23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>
      <c r="A177" s="17">
        <v>1.0</v>
      </c>
      <c r="B177" s="19" t="s">
        <v>1382</v>
      </c>
      <c r="C177" s="17" t="s">
        <v>46</v>
      </c>
      <c r="D177" s="19"/>
      <c r="E177" s="23"/>
      <c r="F177" s="14" t="s">
        <v>1383</v>
      </c>
      <c r="G177" s="11"/>
      <c r="H177" s="23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>
      <c r="A178" s="76">
        <v>1.0</v>
      </c>
      <c r="B178" s="77" t="s">
        <v>553</v>
      </c>
      <c r="C178" s="76" t="s">
        <v>46</v>
      </c>
      <c r="D178" s="76" t="s">
        <v>1384</v>
      </c>
      <c r="E178" s="80" t="s">
        <v>1385</v>
      </c>
      <c r="F178" s="14" t="s">
        <v>711</v>
      </c>
      <c r="G178" s="11"/>
      <c r="H178" s="23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>
      <c r="A179" s="17">
        <v>1.0</v>
      </c>
      <c r="B179" s="19" t="s">
        <v>1386</v>
      </c>
      <c r="C179" s="17" t="s">
        <v>216</v>
      </c>
      <c r="D179" s="17" t="s">
        <v>1387</v>
      </c>
      <c r="E179" s="52" t="s">
        <v>1388</v>
      </c>
      <c r="F179" s="11" t="s">
        <v>373</v>
      </c>
      <c r="G179" s="11"/>
      <c r="H179" s="23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>
      <c r="A180" s="17">
        <v>1.0</v>
      </c>
      <c r="B180" s="19" t="s">
        <v>1389</v>
      </c>
      <c r="C180" s="17" t="s">
        <v>46</v>
      </c>
      <c r="D180" s="76" t="s">
        <v>1390</v>
      </c>
      <c r="E180" s="52" t="s">
        <v>1391</v>
      </c>
      <c r="F180" s="11" t="s">
        <v>528</v>
      </c>
      <c r="G180" s="11"/>
      <c r="H180" s="23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>
      <c r="A181" s="17">
        <v>1.0</v>
      </c>
      <c r="B181" s="17" t="s">
        <v>1392</v>
      </c>
      <c r="C181" s="17" t="s">
        <v>46</v>
      </c>
      <c r="D181" s="17" t="s">
        <v>795</v>
      </c>
      <c r="E181" s="52" t="s">
        <v>1393</v>
      </c>
      <c r="F181" s="11" t="s">
        <v>756</v>
      </c>
      <c r="G181" s="11"/>
      <c r="H181" s="23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>
      <c r="A182" s="117">
        <v>1.0</v>
      </c>
      <c r="B182" s="118" t="s">
        <v>558</v>
      </c>
      <c r="C182" s="17" t="s">
        <v>46</v>
      </c>
      <c r="D182" s="27"/>
      <c r="E182" s="52" t="s">
        <v>1394</v>
      </c>
      <c r="F182" s="42" t="s">
        <v>1395</v>
      </c>
      <c r="G182" s="42" t="s">
        <v>1396</v>
      </c>
      <c r="H182" s="23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>
      <c r="A183" s="55">
        <v>1.0</v>
      </c>
      <c r="B183" s="55" t="s">
        <v>1397</v>
      </c>
      <c r="C183" s="27" t="s">
        <v>46</v>
      </c>
      <c r="D183" s="27"/>
      <c r="E183" s="23"/>
      <c r="F183" s="11"/>
      <c r="G183" s="14"/>
      <c r="H183" s="23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>
      <c r="A184" s="25">
        <v>1.0</v>
      </c>
      <c r="B184" s="27" t="s">
        <v>566</v>
      </c>
      <c r="C184" s="27" t="s">
        <v>46</v>
      </c>
      <c r="D184" s="27"/>
      <c r="E184" s="23"/>
      <c r="F184" s="11"/>
      <c r="G184" s="14"/>
      <c r="H184" s="23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>
      <c r="A185" s="17">
        <v>1.0</v>
      </c>
      <c r="B185" s="19" t="s">
        <v>1398</v>
      </c>
      <c r="C185" s="17" t="s">
        <v>216</v>
      </c>
      <c r="D185" s="17" t="s">
        <v>1399</v>
      </c>
      <c r="E185" s="52" t="s">
        <v>1400</v>
      </c>
      <c r="F185" s="11" t="s">
        <v>528</v>
      </c>
      <c r="G185" s="11"/>
      <c r="H185" s="23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>
      <c r="A186" s="17">
        <v>1.0</v>
      </c>
      <c r="B186" s="19" t="s">
        <v>579</v>
      </c>
      <c r="C186" s="17" t="s">
        <v>46</v>
      </c>
      <c r="D186" s="19"/>
      <c r="E186" s="23"/>
      <c r="F186" s="11"/>
      <c r="G186" s="11"/>
      <c r="H186" s="23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>
      <c r="A187" s="25">
        <v>1.0</v>
      </c>
      <c r="B187" s="27" t="s">
        <v>1401</v>
      </c>
      <c r="C187" s="27" t="s">
        <v>171</v>
      </c>
      <c r="D187" s="27" t="s">
        <v>173</v>
      </c>
      <c r="E187" s="23"/>
      <c r="F187" s="11"/>
      <c r="G187" s="11"/>
      <c r="H187" s="23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>
      <c r="A188" s="119">
        <v>1.0</v>
      </c>
      <c r="B188" s="120" t="s">
        <v>1402</v>
      </c>
      <c r="C188" s="121"/>
      <c r="D188" s="48" t="s">
        <v>1403</v>
      </c>
      <c r="E188" s="122" t="s">
        <v>1404</v>
      </c>
      <c r="F188" s="11"/>
      <c r="G188" s="14"/>
      <c r="H188" s="23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>
      <c r="A189" s="25">
        <v>1.0</v>
      </c>
      <c r="B189" s="27" t="s">
        <v>542</v>
      </c>
      <c r="C189" s="27" t="s">
        <v>1200</v>
      </c>
      <c r="D189" s="27"/>
      <c r="E189" s="23"/>
      <c r="F189" s="11"/>
      <c r="G189" s="14"/>
      <c r="H189" s="23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>
      <c r="A190" s="123">
        <v>1.0</v>
      </c>
      <c r="B190" s="62" t="s">
        <v>585</v>
      </c>
      <c r="C190" s="17" t="s">
        <v>46</v>
      </c>
      <c r="D190" s="124"/>
      <c r="E190" s="104"/>
      <c r="F190" s="41"/>
      <c r="G190" s="42"/>
      <c r="H190" s="23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>
      <c r="A191" s="25">
        <v>1.0</v>
      </c>
      <c r="B191" s="27" t="s">
        <v>592</v>
      </c>
      <c r="C191" s="27" t="s">
        <v>46</v>
      </c>
      <c r="D191" s="27"/>
      <c r="E191" s="23"/>
      <c r="F191" s="11"/>
      <c r="G191" s="11"/>
      <c r="H191" s="23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>
      <c r="A192" s="25">
        <v>1.0</v>
      </c>
      <c r="B192" s="27" t="s">
        <v>546</v>
      </c>
      <c r="C192" s="63" t="s">
        <v>1014</v>
      </c>
      <c r="D192" s="27"/>
      <c r="E192" s="23"/>
      <c r="F192" s="11"/>
      <c r="G192" s="11"/>
      <c r="H192" s="23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>
      <c r="A193" s="25">
        <v>1.0</v>
      </c>
      <c r="B193" s="27" t="s">
        <v>606</v>
      </c>
      <c r="C193" s="27" t="s">
        <v>46</v>
      </c>
      <c r="D193" s="27"/>
      <c r="E193" s="23"/>
      <c r="F193" s="11"/>
      <c r="G193" s="14"/>
      <c r="H193" s="23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>
      <c r="A194" s="25">
        <v>1.0</v>
      </c>
      <c r="B194" s="27" t="s">
        <v>1405</v>
      </c>
      <c r="C194" s="27" t="s">
        <v>46</v>
      </c>
      <c r="D194" s="27"/>
      <c r="E194" s="23"/>
      <c r="F194" s="11"/>
      <c r="G194" s="11"/>
      <c r="H194" s="23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>
      <c r="A195" s="25">
        <v>1.0</v>
      </c>
      <c r="B195" s="27" t="s">
        <v>608</v>
      </c>
      <c r="C195" s="27" t="s">
        <v>46</v>
      </c>
      <c r="D195" s="27"/>
      <c r="E195" s="23"/>
      <c r="F195" s="11"/>
      <c r="G195" s="11"/>
      <c r="H195" s="23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>
      <c r="A196" s="25">
        <v>1.0</v>
      </c>
      <c r="B196" s="27" t="s">
        <v>550</v>
      </c>
      <c r="C196" s="27" t="s">
        <v>46</v>
      </c>
      <c r="D196" s="27"/>
      <c r="E196" s="23"/>
      <c r="F196" s="11"/>
      <c r="G196" s="11"/>
      <c r="H196" s="23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>
      <c r="A197" s="128"/>
      <c r="B197" s="130" t="s">
        <v>1175</v>
      </c>
      <c r="C197" s="132"/>
      <c r="D197" s="61" t="s">
        <v>1423</v>
      </c>
      <c r="E197" s="87" t="s">
        <v>1426</v>
      </c>
      <c r="F197" s="14" t="s">
        <v>373</v>
      </c>
      <c r="G197" s="11"/>
      <c r="H197" s="23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>
      <c r="A198" s="25">
        <v>1.0</v>
      </c>
      <c r="B198" s="27" t="s">
        <v>623</v>
      </c>
      <c r="C198" s="27" t="s">
        <v>46</v>
      </c>
      <c r="D198" s="27"/>
      <c r="E198" s="23"/>
      <c r="F198" s="11"/>
      <c r="G198" s="11"/>
      <c r="H198" s="23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>
      <c r="A199" s="17">
        <v>1.0</v>
      </c>
      <c r="B199" s="19" t="s">
        <v>1432</v>
      </c>
      <c r="C199" s="19"/>
      <c r="D199" s="17" t="s">
        <v>1433</v>
      </c>
      <c r="E199" s="52" t="s">
        <v>1434</v>
      </c>
      <c r="F199" s="11"/>
      <c r="G199" s="11"/>
      <c r="H199" s="23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>
      <c r="A200" s="17">
        <v>1.0</v>
      </c>
      <c r="B200" s="19" t="s">
        <v>617</v>
      </c>
      <c r="C200" s="17" t="s">
        <v>1439</v>
      </c>
      <c r="D200" s="17"/>
      <c r="E200" s="40"/>
      <c r="F200" s="41"/>
      <c r="G200" s="42"/>
      <c r="H200" s="23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>
      <c r="A201" s="17">
        <v>1.0</v>
      </c>
      <c r="B201" s="19" t="s">
        <v>1440</v>
      </c>
      <c r="C201" s="27" t="s">
        <v>46</v>
      </c>
      <c r="D201" s="27"/>
      <c r="E201" s="23"/>
      <c r="F201" s="11"/>
      <c r="G201" s="11"/>
      <c r="H201" s="23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>
      <c r="A202" s="17">
        <v>1.0</v>
      </c>
      <c r="B202" s="19" t="s">
        <v>1441</v>
      </c>
      <c r="C202" s="17" t="s">
        <v>216</v>
      </c>
      <c r="D202" s="76" t="s">
        <v>1442</v>
      </c>
      <c r="E202" s="52" t="s">
        <v>1443</v>
      </c>
      <c r="F202" s="11" t="s">
        <v>373</v>
      </c>
      <c r="G202" s="11"/>
      <c r="H202" s="23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>
      <c r="A203" s="17">
        <v>1.0</v>
      </c>
      <c r="B203" s="17" t="s">
        <v>1444</v>
      </c>
      <c r="C203" s="17" t="s">
        <v>46</v>
      </c>
      <c r="D203" s="17" t="s">
        <v>1445</v>
      </c>
      <c r="E203" s="23"/>
      <c r="F203" s="14" t="s">
        <v>1446</v>
      </c>
      <c r="G203" s="11"/>
      <c r="H203" s="23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>
      <c r="A204" s="17">
        <v>1.0</v>
      </c>
      <c r="B204" s="19" t="s">
        <v>1447</v>
      </c>
      <c r="C204" s="19"/>
      <c r="D204" s="17" t="s">
        <v>1448</v>
      </c>
      <c r="E204" s="52" t="s">
        <v>1449</v>
      </c>
      <c r="F204" s="14" t="s">
        <v>1450</v>
      </c>
      <c r="G204" s="11"/>
      <c r="H204" s="23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>
      <c r="A205" s="25">
        <v>1.0</v>
      </c>
      <c r="B205" s="27" t="s">
        <v>556</v>
      </c>
      <c r="C205" s="27" t="s">
        <v>46</v>
      </c>
      <c r="D205" s="27"/>
      <c r="E205" s="23"/>
      <c r="F205" s="11"/>
      <c r="G205" s="11"/>
      <c r="H205" s="23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>
      <c r="A206" s="25">
        <v>1.0</v>
      </c>
      <c r="B206" s="27" t="s">
        <v>1451</v>
      </c>
      <c r="C206" s="27" t="s">
        <v>46</v>
      </c>
      <c r="D206" s="27"/>
      <c r="E206" s="23"/>
      <c r="F206" s="11"/>
      <c r="G206" s="11"/>
      <c r="H206" s="23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>
      <c r="A207" s="17">
        <v>1.0</v>
      </c>
      <c r="B207" s="19" t="s">
        <v>634</v>
      </c>
      <c r="C207" s="17" t="s">
        <v>46</v>
      </c>
      <c r="D207" s="19"/>
      <c r="E207" s="104"/>
      <c r="F207" s="41"/>
      <c r="G207" s="42" t="s">
        <v>752</v>
      </c>
      <c r="H207" s="23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>
      <c r="A208" s="17">
        <v>1.0</v>
      </c>
      <c r="B208" s="19" t="s">
        <v>1452</v>
      </c>
      <c r="C208" s="17" t="s">
        <v>46</v>
      </c>
      <c r="D208" s="17"/>
      <c r="E208" s="133" t="s">
        <v>1453</v>
      </c>
      <c r="F208" s="14" t="s">
        <v>528</v>
      </c>
      <c r="G208" s="11"/>
      <c r="H208" s="23"/>
      <c r="I208" s="11"/>
      <c r="J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>
      <c r="A209" s="17">
        <v>1.0</v>
      </c>
      <c r="B209" s="19" t="s">
        <v>1454</v>
      </c>
      <c r="C209" s="17" t="s">
        <v>46</v>
      </c>
      <c r="D209" s="17" t="s">
        <v>1214</v>
      </c>
      <c r="E209" s="52" t="s">
        <v>1455</v>
      </c>
      <c r="F209" s="14" t="s">
        <v>528</v>
      </c>
      <c r="G209" s="11"/>
      <c r="H209" s="23"/>
      <c r="I209" s="11"/>
      <c r="J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>
      <c r="A210" s="25">
        <v>1.0</v>
      </c>
      <c r="B210" s="63" t="s">
        <v>638</v>
      </c>
      <c r="C210" s="27" t="s">
        <v>46</v>
      </c>
      <c r="D210" s="27"/>
      <c r="E210" s="23"/>
      <c r="F210" s="11"/>
      <c r="G210" s="11"/>
      <c r="H210" s="23"/>
      <c r="I210" s="11"/>
      <c r="J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>
      <c r="A211" s="25">
        <v>1.0</v>
      </c>
      <c r="B211" s="27" t="s">
        <v>642</v>
      </c>
      <c r="C211" s="27" t="s">
        <v>389</v>
      </c>
      <c r="D211" s="27" t="s">
        <v>173</v>
      </c>
      <c r="E211" s="52" t="s">
        <v>1456</v>
      </c>
      <c r="F211" s="11"/>
      <c r="G211" s="11"/>
      <c r="H211" s="23"/>
      <c r="I211" s="11"/>
      <c r="J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>
      <c r="A212" s="25">
        <v>1.0</v>
      </c>
      <c r="B212" s="27" t="s">
        <v>532</v>
      </c>
      <c r="C212" s="27" t="s">
        <v>46</v>
      </c>
      <c r="D212" s="27"/>
      <c r="E212" s="23"/>
      <c r="F212" s="11"/>
      <c r="G212" s="14"/>
      <c r="H212" s="23"/>
      <c r="I212" s="11"/>
      <c r="J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>
      <c r="A213" s="25">
        <v>1.0</v>
      </c>
      <c r="B213" s="27" t="s">
        <v>1171</v>
      </c>
      <c r="C213" s="27" t="s">
        <v>46</v>
      </c>
      <c r="D213" s="27"/>
      <c r="E213" s="23"/>
      <c r="F213" s="11"/>
      <c r="G213" s="11"/>
      <c r="H213" s="23"/>
      <c r="I213" s="11"/>
      <c r="J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>
      <c r="A214" s="17">
        <v>1.0</v>
      </c>
      <c r="B214" s="17" t="s">
        <v>1457</v>
      </c>
      <c r="C214" s="19"/>
      <c r="D214" s="17" t="s">
        <v>1458</v>
      </c>
      <c r="E214" s="52" t="s">
        <v>1459</v>
      </c>
      <c r="F214" s="11" t="s">
        <v>265</v>
      </c>
      <c r="G214" s="11"/>
      <c r="H214" s="23"/>
      <c r="I214" s="11"/>
      <c r="J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>
      <c r="A215" s="25">
        <v>1.0</v>
      </c>
      <c r="B215" s="27" t="s">
        <v>1460</v>
      </c>
      <c r="C215" s="27" t="s">
        <v>389</v>
      </c>
      <c r="D215" s="27" t="s">
        <v>173</v>
      </c>
      <c r="E215" s="23"/>
      <c r="F215" s="11"/>
      <c r="G215" s="11"/>
      <c r="H215" s="23"/>
      <c r="I215" s="11"/>
      <c r="J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>
      <c r="A216" s="25">
        <v>1.0</v>
      </c>
      <c r="B216" s="27" t="s">
        <v>748</v>
      </c>
      <c r="C216" s="27" t="s">
        <v>46</v>
      </c>
      <c r="D216" s="27"/>
      <c r="E216" s="23"/>
      <c r="F216" s="11"/>
      <c r="G216" s="11"/>
      <c r="H216" s="23"/>
      <c r="I216" s="11"/>
      <c r="J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>
      <c r="A217" s="25">
        <v>1.0</v>
      </c>
      <c r="B217" s="27" t="s">
        <v>575</v>
      </c>
      <c r="C217" s="27" t="s">
        <v>46</v>
      </c>
      <c r="D217" s="27"/>
      <c r="E217" s="23"/>
      <c r="F217" s="11"/>
      <c r="G217" s="11"/>
      <c r="H217" s="23"/>
      <c r="I217" s="11"/>
      <c r="J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>
      <c r="A218" s="17">
        <v>1.0</v>
      </c>
      <c r="B218" s="19" t="s">
        <v>584</v>
      </c>
      <c r="C218" s="27" t="s">
        <v>46</v>
      </c>
      <c r="D218" s="19"/>
      <c r="E218" s="23"/>
      <c r="F218" s="11"/>
      <c r="G218" s="11"/>
      <c r="H218" s="23"/>
      <c r="I218" s="11"/>
      <c r="J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>
      <c r="A219" s="17">
        <v>1.0</v>
      </c>
      <c r="B219" s="19" t="s">
        <v>1461</v>
      </c>
      <c r="C219" s="17" t="s">
        <v>46</v>
      </c>
      <c r="D219" s="19"/>
      <c r="E219" s="23"/>
      <c r="F219" s="11"/>
      <c r="G219" s="11"/>
      <c r="H219" s="23"/>
      <c r="I219" s="11"/>
      <c r="J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>
      <c r="A220" s="25">
        <v>1.0</v>
      </c>
      <c r="B220" s="27" t="s">
        <v>662</v>
      </c>
      <c r="C220" s="27" t="s">
        <v>46</v>
      </c>
      <c r="D220" s="27"/>
      <c r="E220" s="23"/>
      <c r="F220" s="11"/>
      <c r="G220" s="11"/>
      <c r="H220" s="23"/>
      <c r="I220" s="11"/>
      <c r="J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>
      <c r="A221" s="25">
        <v>1.0</v>
      </c>
      <c r="B221" s="27" t="s">
        <v>1462</v>
      </c>
      <c r="C221" s="27" t="s">
        <v>46</v>
      </c>
      <c r="D221" s="27"/>
      <c r="E221" s="23"/>
      <c r="F221" s="11"/>
      <c r="G221" s="11"/>
      <c r="H221" s="23"/>
      <c r="I221" s="11"/>
      <c r="J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>
      <c r="A222" s="17">
        <v>1.0</v>
      </c>
      <c r="B222" s="19" t="s">
        <v>665</v>
      </c>
      <c r="C222" s="17" t="s">
        <v>46</v>
      </c>
      <c r="D222" s="17"/>
      <c r="E222" s="52" t="s">
        <v>1463</v>
      </c>
      <c r="F222" s="11"/>
      <c r="G222" s="11"/>
      <c r="H222" s="23"/>
      <c r="I222" s="11"/>
      <c r="J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>
      <c r="A223" s="25">
        <v>1.0</v>
      </c>
      <c r="B223" s="25" t="s">
        <v>1464</v>
      </c>
      <c r="C223" s="25" t="s">
        <v>46</v>
      </c>
      <c r="D223" s="56"/>
      <c r="E223" s="52" t="s">
        <v>1465</v>
      </c>
      <c r="F223" s="14" t="s">
        <v>1466</v>
      </c>
      <c r="G223" s="11"/>
      <c r="H223" s="134">
        <v>42956.0</v>
      </c>
      <c r="I223" s="11"/>
      <c r="J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>
      <c r="A224" s="25">
        <v>1.0</v>
      </c>
      <c r="B224" s="27" t="s">
        <v>708</v>
      </c>
      <c r="C224" s="27" t="s">
        <v>46</v>
      </c>
      <c r="D224" s="27"/>
      <c r="E224" s="23"/>
      <c r="F224" s="11"/>
      <c r="G224" s="11"/>
      <c r="H224" s="23"/>
      <c r="I224" s="11"/>
      <c r="J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>
      <c r="A225" s="88">
        <v>1.0</v>
      </c>
      <c r="B225" s="88" t="s">
        <v>670</v>
      </c>
      <c r="C225" s="89"/>
      <c r="D225" s="135" t="s">
        <v>1467</v>
      </c>
      <c r="E225" s="69" t="s">
        <v>1468</v>
      </c>
      <c r="F225" s="2" t="s">
        <v>860</v>
      </c>
      <c r="J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>
      <c r="A226" s="25">
        <v>1.0</v>
      </c>
      <c r="B226" s="27" t="s">
        <v>568</v>
      </c>
      <c r="C226" s="63" t="s">
        <v>46</v>
      </c>
      <c r="D226" s="27"/>
      <c r="E226" s="23"/>
      <c r="F226" s="11"/>
      <c r="G226" s="11"/>
      <c r="H226" s="23"/>
      <c r="I226" s="11"/>
      <c r="J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>
      <c r="A227" s="17">
        <v>1.0</v>
      </c>
      <c r="B227" s="19" t="s">
        <v>672</v>
      </c>
      <c r="C227" s="63" t="s">
        <v>46</v>
      </c>
      <c r="D227" s="27"/>
      <c r="E227" s="52" t="s">
        <v>674</v>
      </c>
      <c r="F227" s="42" t="s">
        <v>1469</v>
      </c>
      <c r="G227" s="42" t="s">
        <v>752</v>
      </c>
      <c r="H227" s="23"/>
      <c r="I227" s="11"/>
      <c r="J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>
      <c r="A228" s="17">
        <v>1.0</v>
      </c>
      <c r="B228" s="17" t="s">
        <v>491</v>
      </c>
      <c r="C228" s="17" t="s">
        <v>1470</v>
      </c>
      <c r="D228" s="17"/>
      <c r="E228" s="52" t="s">
        <v>493</v>
      </c>
      <c r="F228" s="11"/>
      <c r="G228" s="14"/>
      <c r="H228" s="23"/>
      <c r="I228" s="11"/>
      <c r="J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>
      <c r="A229" s="17">
        <v>1.0</v>
      </c>
      <c r="B229" s="19" t="s">
        <v>720</v>
      </c>
      <c r="C229" s="17" t="s">
        <v>46</v>
      </c>
      <c r="D229" s="17"/>
      <c r="E229" s="23"/>
      <c r="F229" s="14" t="s">
        <v>436</v>
      </c>
      <c r="G229" s="14" t="s">
        <v>1471</v>
      </c>
      <c r="H229" s="23"/>
      <c r="I229" s="11"/>
      <c r="J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>
      <c r="A230" s="17">
        <v>1.0</v>
      </c>
      <c r="B230" s="19" t="s">
        <v>678</v>
      </c>
      <c r="C230" s="17" t="s">
        <v>366</v>
      </c>
      <c r="D230" s="17" t="s">
        <v>1472</v>
      </c>
      <c r="E230" s="136" t="s">
        <v>1473</v>
      </c>
      <c r="F230" s="11"/>
      <c r="G230" s="11"/>
      <c r="H230" s="23"/>
      <c r="I230" s="11"/>
      <c r="J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>
      <c r="A231" s="17">
        <v>1.0</v>
      </c>
      <c r="B231" s="19" t="s">
        <v>680</v>
      </c>
      <c r="C231" s="17" t="s">
        <v>46</v>
      </c>
      <c r="D231" s="19"/>
      <c r="E231" s="40"/>
      <c r="F231" s="42"/>
      <c r="G231" s="42"/>
      <c r="H231" s="23"/>
      <c r="I231" s="11"/>
      <c r="J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>
      <c r="A232" s="17">
        <v>1.0</v>
      </c>
      <c r="B232" s="19" t="s">
        <v>1474</v>
      </c>
      <c r="C232" s="19"/>
      <c r="D232" s="137" t="s">
        <v>1475</v>
      </c>
      <c r="E232" s="52" t="s">
        <v>1476</v>
      </c>
      <c r="F232" s="14"/>
      <c r="G232" s="23"/>
      <c r="H232" s="23"/>
      <c r="I232" s="11"/>
      <c r="J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>
      <c r="A233" s="25">
        <v>1.0</v>
      </c>
      <c r="B233" s="25" t="s">
        <v>726</v>
      </c>
      <c r="C233" s="25" t="s">
        <v>366</v>
      </c>
      <c r="D233" s="96"/>
      <c r="E233" s="75" t="s">
        <v>1208</v>
      </c>
      <c r="F233" s="11"/>
      <c r="G233" s="11"/>
      <c r="H233" s="23"/>
      <c r="I233" s="11"/>
      <c r="J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>
      <c r="A234" s="25">
        <v>1.0</v>
      </c>
      <c r="B234" s="27" t="s">
        <v>1189</v>
      </c>
      <c r="C234" s="27" t="s">
        <v>46</v>
      </c>
      <c r="D234" s="27"/>
      <c r="E234" s="23"/>
      <c r="F234" s="11"/>
      <c r="G234" s="11"/>
      <c r="H234" s="23"/>
      <c r="I234" s="11"/>
      <c r="J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>
      <c r="A235" s="17">
        <v>1.0</v>
      </c>
      <c r="B235" s="19" t="s">
        <v>1360</v>
      </c>
      <c r="C235" s="17" t="s">
        <v>46</v>
      </c>
      <c r="D235" s="19"/>
      <c r="E235" s="136" t="s">
        <v>1477</v>
      </c>
      <c r="F235" s="11"/>
      <c r="G235" s="11"/>
      <c r="H235" s="23"/>
      <c r="I235" s="11"/>
      <c r="J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>
      <c r="A236" s="17">
        <v>1.0</v>
      </c>
      <c r="B236" s="19" t="s">
        <v>685</v>
      </c>
      <c r="C236" s="17" t="s">
        <v>46</v>
      </c>
      <c r="D236" s="19"/>
      <c r="E236" s="23"/>
      <c r="F236" s="11"/>
      <c r="G236" s="66"/>
      <c r="H236" s="23"/>
      <c r="I236" s="11"/>
      <c r="J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>
      <c r="A237" s="17">
        <v>1.0</v>
      </c>
      <c r="B237" s="17" t="s">
        <v>1478</v>
      </c>
      <c r="C237" s="17" t="s">
        <v>46</v>
      </c>
      <c r="D237" s="17" t="s">
        <v>1479</v>
      </c>
      <c r="E237" s="52" t="s">
        <v>1480</v>
      </c>
      <c r="F237" s="14" t="s">
        <v>1481</v>
      </c>
      <c r="G237" s="66"/>
      <c r="H237" s="23"/>
      <c r="I237" s="11"/>
      <c r="J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>
      <c r="A238" s="17">
        <v>1.0</v>
      </c>
      <c r="B238" s="17" t="s">
        <v>1213</v>
      </c>
      <c r="C238" s="17" t="s">
        <v>46</v>
      </c>
      <c r="D238" s="17" t="s">
        <v>621</v>
      </c>
      <c r="E238" s="23"/>
      <c r="F238" s="11"/>
      <c r="G238" s="66"/>
      <c r="H238" s="23"/>
      <c r="I238" s="11"/>
      <c r="J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>
      <c r="A239" s="17">
        <v>1.0</v>
      </c>
      <c r="B239" s="19" t="s">
        <v>689</v>
      </c>
      <c r="C239" s="17" t="s">
        <v>46</v>
      </c>
      <c r="D239" s="92"/>
      <c r="E239" s="40"/>
      <c r="F239" s="41"/>
      <c r="G239" s="42" t="s">
        <v>752</v>
      </c>
      <c r="H239" s="23"/>
      <c r="I239" s="11"/>
      <c r="J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>
      <c r="A240" s="25">
        <v>1.0</v>
      </c>
      <c r="B240" s="27" t="s">
        <v>736</v>
      </c>
      <c r="C240" s="27" t="s">
        <v>46</v>
      </c>
      <c r="D240" s="27"/>
      <c r="E240" s="23"/>
      <c r="F240" s="11"/>
      <c r="G240" s="11"/>
      <c r="H240" s="23"/>
      <c r="I240" s="11"/>
      <c r="J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>
      <c r="A241" s="17">
        <v>1.0</v>
      </c>
      <c r="B241" s="17" t="s">
        <v>737</v>
      </c>
      <c r="C241" s="17" t="s">
        <v>46</v>
      </c>
      <c r="D241" s="51" t="s">
        <v>1214</v>
      </c>
      <c r="E241" s="14" t="s">
        <v>739</v>
      </c>
      <c r="F241" s="52" t="s">
        <v>738</v>
      </c>
      <c r="G241" s="11"/>
      <c r="H241" s="23"/>
      <c r="I241" s="11"/>
      <c r="J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>
      <c r="A242" s="25">
        <v>1.0</v>
      </c>
      <c r="B242" s="27" t="s">
        <v>596</v>
      </c>
      <c r="C242" s="27" t="s">
        <v>46</v>
      </c>
      <c r="D242" s="27"/>
      <c r="E242" s="23"/>
      <c r="F242" s="11"/>
      <c r="G242" s="11"/>
      <c r="H242" s="23"/>
      <c r="I242" s="11"/>
      <c r="J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>
      <c r="A243" s="17">
        <v>1.0</v>
      </c>
      <c r="B243" s="19" t="s">
        <v>701</v>
      </c>
      <c r="C243" s="17" t="s">
        <v>46</v>
      </c>
      <c r="D243" s="19"/>
      <c r="E243" s="23"/>
      <c r="F243" s="11"/>
      <c r="G243" s="11"/>
      <c r="H243" s="23"/>
      <c r="I243" s="11"/>
      <c r="J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>
      <c r="A244" s="25">
        <v>1.0</v>
      </c>
      <c r="B244" s="27" t="s">
        <v>591</v>
      </c>
      <c r="C244" s="27" t="s">
        <v>46</v>
      </c>
      <c r="D244" s="27"/>
      <c r="E244" s="23"/>
      <c r="F244" s="11"/>
      <c r="G244" s="11"/>
      <c r="H244" s="23"/>
      <c r="I244" s="11"/>
      <c r="J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>
      <c r="A245" s="43">
        <v>1.0</v>
      </c>
      <c r="B245" s="32" t="s">
        <v>1043</v>
      </c>
      <c r="C245" s="32"/>
      <c r="D245" s="48" t="s">
        <v>1048</v>
      </c>
      <c r="E245" s="40" t="s">
        <v>1051</v>
      </c>
      <c r="F245" s="11" t="s">
        <v>373</v>
      </c>
      <c r="G245" s="11"/>
      <c r="H245" s="23"/>
      <c r="I245" s="11"/>
      <c r="J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>
      <c r="A246" s="25">
        <v>1.0</v>
      </c>
      <c r="B246" s="27" t="s">
        <v>741</v>
      </c>
      <c r="C246" s="27" t="s">
        <v>171</v>
      </c>
      <c r="D246" s="27"/>
      <c r="E246" s="23"/>
      <c r="F246" s="11"/>
      <c r="G246" s="14"/>
      <c r="H246" s="23"/>
      <c r="I246" s="11"/>
      <c r="J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>
      <c r="A247" s="25">
        <v>1.0</v>
      </c>
      <c r="B247" s="27" t="s">
        <v>1482</v>
      </c>
      <c r="C247" s="27" t="s">
        <v>46</v>
      </c>
      <c r="D247" s="27"/>
      <c r="E247" s="23"/>
      <c r="F247" s="11"/>
      <c r="G247" s="11"/>
      <c r="H247" s="23"/>
      <c r="I247" s="11"/>
      <c r="J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>
      <c r="A248" s="17">
        <v>1.0</v>
      </c>
      <c r="B248" s="19" t="s">
        <v>1483</v>
      </c>
      <c r="C248" s="67" t="s">
        <v>46</v>
      </c>
      <c r="D248" s="17"/>
      <c r="E248" s="23"/>
      <c r="F248" s="11"/>
      <c r="G248" s="11"/>
      <c r="H248" s="23"/>
      <c r="I248" s="11"/>
      <c r="J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>
      <c r="A249" s="17">
        <v>1.0</v>
      </c>
      <c r="B249" s="19" t="s">
        <v>30</v>
      </c>
      <c r="C249" s="17" t="s">
        <v>46</v>
      </c>
      <c r="D249" s="17" t="s">
        <v>1484</v>
      </c>
      <c r="E249" s="23"/>
      <c r="F249" s="14" t="s">
        <v>1240</v>
      </c>
      <c r="G249" s="11"/>
      <c r="H249" s="23"/>
      <c r="I249" s="11"/>
      <c r="J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>
      <c r="A250" s="59">
        <v>1.0</v>
      </c>
      <c r="B250" s="60" t="s">
        <v>1485</v>
      </c>
      <c r="C250" s="59" t="s">
        <v>46</v>
      </c>
      <c r="D250" s="59" t="s">
        <v>1486</v>
      </c>
      <c r="E250" s="23"/>
      <c r="F250" s="11"/>
      <c r="G250" s="11"/>
      <c r="H250" s="23"/>
      <c r="I250" s="11"/>
      <c r="J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>
      <c r="A251" s="17">
        <v>1.0</v>
      </c>
      <c r="B251" s="19" t="s">
        <v>712</v>
      </c>
      <c r="C251" s="17" t="s">
        <v>46</v>
      </c>
      <c r="D251" s="17"/>
      <c r="E251" s="23"/>
      <c r="F251" s="11"/>
      <c r="G251" s="11"/>
      <c r="H251" s="23"/>
      <c r="I251" s="11"/>
      <c r="J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>
      <c r="A252" s="25">
        <v>1.0</v>
      </c>
      <c r="B252" s="27" t="s">
        <v>743</v>
      </c>
      <c r="C252" s="27" t="s">
        <v>46</v>
      </c>
      <c r="D252" s="27"/>
      <c r="E252" s="23"/>
      <c r="F252" s="11"/>
      <c r="G252" s="11"/>
      <c r="H252" s="23"/>
      <c r="I252" s="11"/>
      <c r="J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>
      <c r="A253" s="25">
        <v>1.0</v>
      </c>
      <c r="B253" s="27" t="s">
        <v>1487</v>
      </c>
      <c r="C253" s="27" t="s">
        <v>46</v>
      </c>
      <c r="D253" s="27"/>
      <c r="E253" s="23"/>
      <c r="F253" s="11"/>
      <c r="G253" s="11"/>
      <c r="H253" s="23"/>
      <c r="I253" s="11"/>
      <c r="J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>
      <c r="A254" s="17">
        <v>1.0</v>
      </c>
      <c r="B254" s="19" t="s">
        <v>715</v>
      </c>
      <c r="C254" s="17" t="s">
        <v>46</v>
      </c>
      <c r="D254" s="19"/>
      <c r="E254" s="138" t="s">
        <v>1488</v>
      </c>
      <c r="F254" s="11" t="s">
        <v>528</v>
      </c>
      <c r="G254" s="11"/>
      <c r="H254" s="23"/>
      <c r="I254" s="11"/>
      <c r="J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>
      <c r="A255" s="25">
        <v>1.0</v>
      </c>
      <c r="B255" s="27" t="s">
        <v>717</v>
      </c>
      <c r="C255" s="27" t="s">
        <v>46</v>
      </c>
      <c r="D255" s="27"/>
      <c r="E255" s="23"/>
      <c r="F255" s="11"/>
      <c r="G255" s="11"/>
      <c r="H255" s="23"/>
      <c r="I255" s="11"/>
      <c r="J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>
      <c r="A256" s="25">
        <v>1.0</v>
      </c>
      <c r="B256" s="27" t="s">
        <v>600</v>
      </c>
      <c r="C256" s="27" t="s">
        <v>46</v>
      </c>
      <c r="D256" s="27"/>
      <c r="E256" s="23"/>
      <c r="F256" s="11"/>
      <c r="G256" s="11"/>
      <c r="H256" s="23"/>
      <c r="I256" s="11"/>
      <c r="J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>
      <c r="A257" s="25">
        <v>1.0</v>
      </c>
      <c r="B257" s="27" t="s">
        <v>1002</v>
      </c>
      <c r="C257" s="27" t="s">
        <v>46</v>
      </c>
      <c r="D257" s="27"/>
      <c r="E257" s="23"/>
      <c r="F257" s="11"/>
      <c r="G257" s="11"/>
      <c r="H257" s="23"/>
      <c r="I257" s="11"/>
      <c r="J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>
      <c r="A258" s="17">
        <v>1.0</v>
      </c>
      <c r="B258" s="17" t="s">
        <v>721</v>
      </c>
      <c r="C258" s="17" t="s">
        <v>46</v>
      </c>
      <c r="D258" s="17" t="s">
        <v>1489</v>
      </c>
      <c r="E258" s="14" t="s">
        <v>745</v>
      </c>
      <c r="F258" s="52" t="s">
        <v>1490</v>
      </c>
      <c r="G258" s="14"/>
      <c r="H258" s="23"/>
      <c r="I258" s="11"/>
      <c r="J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>
      <c r="A259" s="17">
        <v>1.0</v>
      </c>
      <c r="B259" s="19" t="s">
        <v>723</v>
      </c>
      <c r="C259" s="17" t="s">
        <v>216</v>
      </c>
      <c r="D259" s="17" t="s">
        <v>1491</v>
      </c>
      <c r="E259" s="80" t="s">
        <v>1492</v>
      </c>
      <c r="F259" s="14" t="s">
        <v>1493</v>
      </c>
      <c r="G259" s="14" t="s">
        <v>1494</v>
      </c>
      <c r="H259" s="23"/>
      <c r="I259" s="11"/>
      <c r="J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>
      <c r="A260" s="17">
        <v>1.0</v>
      </c>
      <c r="B260" s="19" t="s">
        <v>1495</v>
      </c>
      <c r="C260" s="17" t="s">
        <v>216</v>
      </c>
      <c r="D260" s="17" t="s">
        <v>1496</v>
      </c>
      <c r="E260" s="52" t="s">
        <v>1497</v>
      </c>
      <c r="F260" s="14" t="s">
        <v>528</v>
      </c>
      <c r="G260" s="11"/>
      <c r="H260" s="23"/>
      <c r="I260" s="11"/>
      <c r="J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>
      <c r="A261" s="17">
        <v>1.0</v>
      </c>
      <c r="B261" s="19" t="s">
        <v>727</v>
      </c>
      <c r="C261" s="17" t="s">
        <v>46</v>
      </c>
      <c r="D261" s="19"/>
      <c r="E261" s="40"/>
      <c r="F261" s="41"/>
      <c r="G261" s="42"/>
      <c r="H261" s="23"/>
      <c r="I261" s="11"/>
      <c r="J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>
      <c r="A262" s="139"/>
      <c r="B262" s="139" t="s">
        <v>1498</v>
      </c>
      <c r="C262" s="139"/>
      <c r="D262" s="140"/>
      <c r="E262" s="141"/>
      <c r="F262" s="142"/>
      <c r="G262" s="143"/>
      <c r="H262" s="144"/>
      <c r="I262" s="140"/>
      <c r="J262" s="140"/>
      <c r="K262" s="145"/>
      <c r="L262" s="140"/>
      <c r="M262" s="140"/>
      <c r="N262" s="140"/>
      <c r="O262" s="140"/>
      <c r="P262" s="140"/>
      <c r="Q262" s="140"/>
      <c r="R262" s="140"/>
      <c r="S262" s="140"/>
      <c r="T262" s="140"/>
      <c r="U262" s="140"/>
      <c r="V262" s="140"/>
      <c r="W262" s="140"/>
      <c r="X262" s="140"/>
      <c r="Y262" s="140"/>
      <c r="Z262" s="140"/>
      <c r="AA262" s="140"/>
      <c r="AB262" s="140"/>
    </row>
    <row r="263">
      <c r="A263" s="146">
        <f>SUM(A2:A261)</f>
        <v>253</v>
      </c>
      <c r="B263" s="147">
        <f>IFERROR(__xludf.DUMMYFUNCTION("TO_PERCENT(A263/259)"),0.9768339768339769)</f>
        <v>0.9768339768</v>
      </c>
      <c r="C263" s="148"/>
      <c r="D263" s="149"/>
      <c r="E263" s="150"/>
      <c r="F263" s="151"/>
      <c r="G263" s="152"/>
      <c r="H263" s="153"/>
      <c r="I263" s="149"/>
      <c r="J263" s="149"/>
      <c r="K263" s="154"/>
      <c r="L263" s="149"/>
      <c r="M263" s="149"/>
      <c r="N263" s="149"/>
      <c r="O263" s="149"/>
      <c r="P263" s="149"/>
      <c r="Q263" s="149"/>
      <c r="R263" s="149"/>
      <c r="S263" s="149"/>
      <c r="T263" s="149"/>
      <c r="U263" s="149"/>
      <c r="V263" s="149"/>
      <c r="W263" s="149"/>
      <c r="X263" s="149"/>
      <c r="Y263" s="149"/>
      <c r="Z263" s="149"/>
      <c r="AA263" s="149"/>
      <c r="AB263" s="149"/>
    </row>
  </sheetData>
  <hyperlinks>
    <hyperlink r:id="rId1" ref="D232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2" width="39.71"/>
  </cols>
  <sheetData>
    <row r="1">
      <c r="A1" s="3" t="s">
        <v>0</v>
      </c>
      <c r="B1" s="5" t="s">
        <v>2</v>
      </c>
      <c r="C1" s="3" t="s">
        <v>3</v>
      </c>
      <c r="D1" s="3" t="s">
        <v>4</v>
      </c>
      <c r="E1" s="8" t="s">
        <v>5</v>
      </c>
      <c r="F1" s="9" t="s">
        <v>8</v>
      </c>
      <c r="G1" s="12" t="s">
        <v>9</v>
      </c>
      <c r="H1" s="13" t="s">
        <v>10</v>
      </c>
    </row>
    <row r="2">
      <c r="A2" s="15" t="s">
        <v>12</v>
      </c>
      <c r="B2" s="16"/>
      <c r="C2" s="16"/>
      <c r="D2" s="16"/>
      <c r="E2" s="15" t="s">
        <v>13</v>
      </c>
      <c r="F2" s="16"/>
      <c r="G2" s="16"/>
      <c r="H2" s="16"/>
    </row>
    <row r="3">
      <c r="A3" s="15" t="s">
        <v>14</v>
      </c>
      <c r="B3" s="16"/>
      <c r="C3" s="16"/>
      <c r="D3" s="16"/>
      <c r="E3" s="15" t="s">
        <v>15</v>
      </c>
      <c r="F3" s="16"/>
      <c r="G3" s="16"/>
      <c r="H3" s="16"/>
    </row>
    <row r="4">
      <c r="A4" s="21" t="s">
        <v>17</v>
      </c>
      <c r="B4" s="22"/>
      <c r="C4" s="22"/>
      <c r="D4" s="22"/>
      <c r="E4" s="21" t="s">
        <v>18</v>
      </c>
      <c r="F4" s="22"/>
      <c r="G4" s="22"/>
      <c r="H4" s="22"/>
    </row>
    <row r="5">
      <c r="A5" s="15" t="s">
        <v>19</v>
      </c>
      <c r="B5" s="16"/>
      <c r="C5" s="16"/>
      <c r="D5" s="16"/>
      <c r="E5" s="15" t="s">
        <v>20</v>
      </c>
      <c r="F5" s="16"/>
      <c r="G5" s="16"/>
      <c r="H5" s="16"/>
    </row>
    <row r="6">
      <c r="A6" s="21" t="s">
        <v>21</v>
      </c>
      <c r="B6" s="22"/>
      <c r="C6" s="22"/>
      <c r="D6" s="22"/>
      <c r="E6" s="21" t="s">
        <v>22</v>
      </c>
      <c r="F6" s="22"/>
      <c r="G6" s="13" t="s">
        <v>23</v>
      </c>
      <c r="H6" s="22"/>
    </row>
    <row r="7">
      <c r="A7" s="15" t="s">
        <v>24</v>
      </c>
      <c r="B7" s="16"/>
      <c r="C7" s="16"/>
      <c r="D7" s="16"/>
      <c r="E7" s="15" t="s">
        <v>25</v>
      </c>
      <c r="F7" s="16"/>
      <c r="G7" s="16"/>
      <c r="H7" s="16"/>
    </row>
    <row r="8">
      <c r="A8" s="21" t="s">
        <v>26</v>
      </c>
      <c r="B8" s="22"/>
      <c r="C8" s="22"/>
      <c r="D8" s="22"/>
      <c r="E8" s="21" t="s">
        <v>28</v>
      </c>
      <c r="F8" s="22"/>
      <c r="G8" s="22"/>
      <c r="H8" s="22"/>
    </row>
    <row r="9">
      <c r="A9" s="21" t="s">
        <v>29</v>
      </c>
      <c r="B9" s="22"/>
      <c r="C9" s="22"/>
      <c r="D9" s="22"/>
      <c r="E9" s="21" t="s">
        <v>31</v>
      </c>
      <c r="F9" s="22"/>
      <c r="G9" s="22"/>
      <c r="H9" s="22"/>
    </row>
    <row r="10">
      <c r="A10" s="21" t="s">
        <v>32</v>
      </c>
      <c r="B10" s="22"/>
      <c r="C10" s="22"/>
      <c r="D10" s="22"/>
      <c r="E10" s="21" t="s">
        <v>33</v>
      </c>
      <c r="F10" s="22"/>
      <c r="G10" s="22"/>
      <c r="H10" s="22"/>
    </row>
    <row r="11">
      <c r="A11" s="15" t="s">
        <v>34</v>
      </c>
      <c r="B11" s="16"/>
      <c r="C11" s="16"/>
      <c r="D11" s="16"/>
      <c r="E11" s="15" t="s">
        <v>36</v>
      </c>
      <c r="F11" s="16"/>
      <c r="G11" s="16"/>
      <c r="H11" s="16"/>
    </row>
    <row r="12">
      <c r="A12" s="21" t="s">
        <v>37</v>
      </c>
      <c r="B12" s="22"/>
      <c r="C12" s="22"/>
      <c r="D12" s="22"/>
      <c r="E12" s="21" t="s">
        <v>38</v>
      </c>
      <c r="F12" s="22"/>
      <c r="G12" s="22"/>
      <c r="H12" s="22"/>
    </row>
    <row r="13">
      <c r="A13" s="21" t="s">
        <v>40</v>
      </c>
      <c r="B13" s="22"/>
      <c r="C13" s="22"/>
      <c r="D13" s="22"/>
      <c r="E13" s="21" t="s">
        <v>42</v>
      </c>
      <c r="F13" s="22"/>
      <c r="G13" s="2" t="s">
        <v>43</v>
      </c>
      <c r="H13" s="22"/>
    </row>
    <row r="14">
      <c r="A14" s="15" t="s">
        <v>44</v>
      </c>
      <c r="B14" s="16"/>
      <c r="C14" s="16"/>
      <c r="D14" s="16"/>
      <c r="E14" s="15" t="s">
        <v>45</v>
      </c>
      <c r="F14" s="16"/>
      <c r="G14" s="16"/>
      <c r="H14" s="16"/>
    </row>
    <row r="15">
      <c r="A15" s="15" t="s">
        <v>49</v>
      </c>
      <c r="B15" s="16"/>
      <c r="C15" s="16"/>
      <c r="D15" s="16"/>
      <c r="E15" s="15" t="s">
        <v>50</v>
      </c>
      <c r="F15" s="16"/>
      <c r="G15" s="16"/>
      <c r="H15" s="16"/>
    </row>
    <row r="16">
      <c r="A16" s="15" t="s">
        <v>47</v>
      </c>
      <c r="B16" s="16"/>
      <c r="C16" s="16"/>
      <c r="D16" s="16"/>
      <c r="E16" s="15" t="s">
        <v>51</v>
      </c>
      <c r="F16" s="16"/>
      <c r="G16" s="16"/>
      <c r="H16" s="16"/>
    </row>
    <row r="17">
      <c r="A17" s="30" t="s">
        <v>53</v>
      </c>
      <c r="B17" s="32"/>
      <c r="C17" s="33"/>
      <c r="D17" s="33"/>
      <c r="E17" s="30" t="s">
        <v>58</v>
      </c>
      <c r="F17" s="33"/>
      <c r="G17" s="33"/>
      <c r="H17" s="33"/>
    </row>
    <row r="18">
      <c r="A18" s="15" t="s">
        <v>52</v>
      </c>
      <c r="B18" s="16"/>
      <c r="C18" s="16"/>
      <c r="D18" s="16"/>
      <c r="E18" s="15" t="s">
        <v>60</v>
      </c>
      <c r="F18" s="16"/>
      <c r="G18" s="16"/>
      <c r="H18" s="16"/>
    </row>
    <row r="19">
      <c r="A19" s="21" t="s">
        <v>62</v>
      </c>
      <c r="B19" s="22"/>
      <c r="C19" s="22"/>
      <c r="D19" s="22"/>
      <c r="E19" s="21" t="s">
        <v>64</v>
      </c>
      <c r="F19" s="22"/>
      <c r="G19" s="22"/>
      <c r="H19" s="22"/>
    </row>
    <row r="20">
      <c r="A20" s="15" t="s">
        <v>65</v>
      </c>
      <c r="B20" s="16"/>
      <c r="C20" s="16"/>
      <c r="D20" s="16"/>
      <c r="E20" s="15" t="s">
        <v>66</v>
      </c>
      <c r="F20" s="16"/>
      <c r="G20" s="16"/>
      <c r="H20" s="16"/>
    </row>
    <row r="21">
      <c r="A21" s="15" t="s">
        <v>68</v>
      </c>
      <c r="B21" s="16"/>
      <c r="C21" s="16"/>
      <c r="D21" s="16"/>
      <c r="E21" s="15" t="s">
        <v>69</v>
      </c>
      <c r="F21" s="16"/>
      <c r="G21" s="16"/>
      <c r="H21" s="16"/>
    </row>
    <row r="22">
      <c r="A22" s="15" t="s">
        <v>71</v>
      </c>
      <c r="B22" s="16"/>
      <c r="C22" s="16"/>
      <c r="D22" s="16"/>
      <c r="E22" s="15" t="s">
        <v>72</v>
      </c>
      <c r="F22" s="16"/>
      <c r="G22" s="16"/>
      <c r="H22" s="16"/>
    </row>
    <row r="23">
      <c r="A23" s="15" t="s">
        <v>74</v>
      </c>
      <c r="B23" s="16"/>
      <c r="C23" s="16"/>
      <c r="D23" s="16"/>
      <c r="E23" s="15" t="s">
        <v>76</v>
      </c>
      <c r="F23" s="16"/>
      <c r="G23" s="16"/>
      <c r="H23" s="16"/>
    </row>
    <row r="24">
      <c r="A24" s="21" t="s">
        <v>78</v>
      </c>
      <c r="B24" s="22"/>
      <c r="C24" s="22"/>
      <c r="D24" s="22"/>
      <c r="E24" s="21" t="s">
        <v>80</v>
      </c>
      <c r="F24" s="22"/>
      <c r="G24" s="22"/>
      <c r="H24" s="22"/>
    </row>
    <row r="25">
      <c r="A25" s="21" t="s">
        <v>82</v>
      </c>
      <c r="B25" s="22"/>
      <c r="C25" s="22"/>
      <c r="D25" s="22"/>
      <c r="E25" s="21" t="s">
        <v>83</v>
      </c>
      <c r="F25" s="22"/>
      <c r="G25" s="22"/>
      <c r="H25" s="22"/>
    </row>
    <row r="26">
      <c r="A26" s="15" t="s">
        <v>84</v>
      </c>
      <c r="B26" s="16"/>
      <c r="C26" s="16"/>
      <c r="D26" s="16"/>
      <c r="E26" s="15" t="s">
        <v>85</v>
      </c>
      <c r="F26" s="16"/>
      <c r="G26" s="16"/>
      <c r="H26" s="16"/>
    </row>
    <row r="27">
      <c r="A27" s="15" t="s">
        <v>86</v>
      </c>
      <c r="B27" s="16"/>
      <c r="C27" s="16"/>
      <c r="D27" s="16"/>
      <c r="E27" s="15" t="s">
        <v>88</v>
      </c>
      <c r="F27" s="16"/>
      <c r="G27" s="16"/>
      <c r="H27" s="16"/>
    </row>
    <row r="28">
      <c r="A28" s="15" t="s">
        <v>90</v>
      </c>
      <c r="B28" s="16"/>
      <c r="C28" s="16"/>
      <c r="D28" s="16"/>
      <c r="E28" s="15" t="s">
        <v>91</v>
      </c>
      <c r="F28" s="16"/>
      <c r="G28" s="16"/>
      <c r="H28" s="16"/>
    </row>
    <row r="29">
      <c r="A29" s="15" t="s">
        <v>92</v>
      </c>
      <c r="B29" s="16"/>
      <c r="C29" s="16"/>
      <c r="D29" s="16"/>
      <c r="E29" s="15" t="s">
        <v>93</v>
      </c>
      <c r="F29" s="16"/>
      <c r="G29" s="16"/>
      <c r="H29" s="16"/>
    </row>
    <row r="30">
      <c r="A30" s="15" t="s">
        <v>95</v>
      </c>
      <c r="B30" s="16"/>
      <c r="C30" s="16"/>
      <c r="D30" s="16"/>
      <c r="E30" s="15" t="s">
        <v>97</v>
      </c>
      <c r="F30" s="16"/>
      <c r="G30" s="16"/>
      <c r="H30" s="16"/>
    </row>
    <row r="31">
      <c r="A31" s="21" t="s">
        <v>99</v>
      </c>
      <c r="B31" s="22"/>
      <c r="C31" s="22"/>
      <c r="D31" s="22"/>
      <c r="E31" s="21" t="s">
        <v>102</v>
      </c>
      <c r="F31" s="22"/>
      <c r="G31" s="22"/>
      <c r="H31" s="22"/>
    </row>
    <row r="32">
      <c r="A32" s="21" t="s">
        <v>106</v>
      </c>
      <c r="B32" s="22"/>
      <c r="C32" s="22"/>
      <c r="D32" s="22"/>
      <c r="E32" s="21" t="s">
        <v>107</v>
      </c>
      <c r="F32" s="22"/>
      <c r="G32" s="22"/>
      <c r="H32" s="22"/>
    </row>
    <row r="33">
      <c r="A33" s="21" t="s">
        <v>108</v>
      </c>
      <c r="B33" s="22"/>
      <c r="C33" s="22"/>
      <c r="D33" s="22"/>
      <c r="E33" s="21" t="s">
        <v>109</v>
      </c>
      <c r="F33" s="22"/>
      <c r="G33" s="22"/>
      <c r="H33" s="22"/>
    </row>
    <row r="34">
      <c r="A34" s="15" t="s">
        <v>110</v>
      </c>
      <c r="B34" s="16"/>
      <c r="C34" s="16"/>
      <c r="D34" s="16"/>
      <c r="E34" s="15" t="s">
        <v>112</v>
      </c>
      <c r="F34" s="16"/>
      <c r="G34" s="16"/>
      <c r="H34" s="16"/>
    </row>
    <row r="35">
      <c r="A35" s="15" t="s">
        <v>114</v>
      </c>
      <c r="B35" s="16"/>
      <c r="C35" s="16"/>
      <c r="D35" s="16"/>
      <c r="E35" s="15" t="s">
        <v>115</v>
      </c>
      <c r="F35" s="16"/>
      <c r="G35" s="16"/>
      <c r="H35" s="16"/>
    </row>
    <row r="36">
      <c r="A36" s="15" t="s">
        <v>117</v>
      </c>
      <c r="B36" s="16"/>
      <c r="C36" s="16"/>
      <c r="D36" s="16"/>
      <c r="E36" s="15" t="s">
        <v>118</v>
      </c>
      <c r="F36" s="16"/>
      <c r="G36" s="16"/>
      <c r="H36" s="16"/>
    </row>
    <row r="37">
      <c r="A37" s="15" t="s">
        <v>120</v>
      </c>
      <c r="B37" s="16"/>
      <c r="C37" s="16"/>
      <c r="D37" s="16"/>
      <c r="E37" s="15" t="s">
        <v>121</v>
      </c>
      <c r="F37" s="16"/>
      <c r="G37" s="16"/>
      <c r="H37" s="16"/>
    </row>
    <row r="38">
      <c r="A38" s="15" t="s">
        <v>122</v>
      </c>
      <c r="B38" s="16"/>
      <c r="C38" s="16"/>
      <c r="D38" s="16"/>
      <c r="E38" s="15" t="s">
        <v>123</v>
      </c>
      <c r="F38" s="16"/>
      <c r="G38" s="16"/>
      <c r="H38" s="16"/>
    </row>
    <row r="39">
      <c r="A39" s="21" t="s">
        <v>126</v>
      </c>
      <c r="B39" s="22"/>
      <c r="C39" s="22"/>
      <c r="D39" s="22"/>
      <c r="E39" s="21" t="s">
        <v>129</v>
      </c>
      <c r="F39" s="22"/>
      <c r="G39" s="22"/>
      <c r="H39" s="22"/>
    </row>
    <row r="40">
      <c r="A40" s="15" t="s">
        <v>130</v>
      </c>
      <c r="B40" s="16"/>
      <c r="C40" s="16"/>
      <c r="D40" s="16"/>
      <c r="E40" s="15" t="s">
        <v>131</v>
      </c>
      <c r="F40" s="16"/>
      <c r="G40" s="16"/>
      <c r="H40" s="16"/>
    </row>
    <row r="41">
      <c r="A41" s="21" t="s">
        <v>133</v>
      </c>
      <c r="B41" s="22"/>
      <c r="C41" s="22"/>
      <c r="D41" s="22"/>
      <c r="E41" s="21" t="s">
        <v>134</v>
      </c>
      <c r="F41" s="22"/>
      <c r="G41" s="22"/>
      <c r="H41" s="22"/>
    </row>
    <row r="42">
      <c r="A42" s="15" t="s">
        <v>135</v>
      </c>
      <c r="B42" s="16"/>
      <c r="C42" s="16"/>
      <c r="D42" s="16"/>
      <c r="E42" s="15" t="s">
        <v>137</v>
      </c>
      <c r="F42" s="16"/>
      <c r="G42" s="16"/>
      <c r="H42" s="16"/>
    </row>
    <row r="43">
      <c r="A43" s="15" t="s">
        <v>139</v>
      </c>
      <c r="B43" s="16"/>
      <c r="C43" s="16"/>
      <c r="D43" s="16"/>
      <c r="E43" s="15" t="s">
        <v>140</v>
      </c>
      <c r="F43" s="16"/>
      <c r="G43" s="16"/>
      <c r="H43" s="16"/>
    </row>
    <row r="44">
      <c r="A44" s="44" t="s">
        <v>141</v>
      </c>
      <c r="B44" s="45" t="s">
        <v>143</v>
      </c>
      <c r="C44" s="46"/>
      <c r="D44" s="47" t="s">
        <v>147</v>
      </c>
      <c r="E44" s="44" t="s">
        <v>151</v>
      </c>
      <c r="F44" s="49"/>
      <c r="G44" s="50" t="s">
        <v>154</v>
      </c>
      <c r="H44" s="46"/>
    </row>
    <row r="45">
      <c r="A45" s="21" t="s">
        <v>155</v>
      </c>
      <c r="B45" s="22"/>
      <c r="C45" s="22"/>
      <c r="D45" s="22"/>
      <c r="E45" s="21" t="s">
        <v>156</v>
      </c>
      <c r="F45" s="22"/>
      <c r="G45" s="22"/>
      <c r="H45" s="22"/>
    </row>
    <row r="46">
      <c r="A46" s="21" t="s">
        <v>157</v>
      </c>
      <c r="B46" s="22"/>
      <c r="C46" s="22"/>
      <c r="D46" s="22"/>
      <c r="E46" s="21" t="s">
        <v>158</v>
      </c>
      <c r="F46" s="22"/>
      <c r="G46" s="22"/>
      <c r="H46" s="22"/>
    </row>
    <row r="47">
      <c r="A47" s="15" t="s">
        <v>159</v>
      </c>
      <c r="B47" s="16"/>
      <c r="C47" s="16"/>
      <c r="D47" s="16"/>
      <c r="E47" s="15" t="s">
        <v>161</v>
      </c>
      <c r="F47" s="16"/>
      <c r="G47" s="16"/>
      <c r="H47" s="16"/>
    </row>
    <row r="48">
      <c r="A48" s="15" t="s">
        <v>145</v>
      </c>
      <c r="B48" s="16"/>
      <c r="C48" s="16"/>
      <c r="D48" s="16"/>
      <c r="E48" s="15" t="s">
        <v>162</v>
      </c>
      <c r="F48" s="16"/>
      <c r="G48" s="16"/>
      <c r="H48" s="16"/>
    </row>
    <row r="49">
      <c r="A49" s="21" t="s">
        <v>163</v>
      </c>
      <c r="B49" s="22"/>
      <c r="C49" s="22"/>
      <c r="D49" s="22"/>
      <c r="E49" s="21" t="s">
        <v>164</v>
      </c>
      <c r="F49" s="22"/>
      <c r="G49" s="22"/>
      <c r="H49" s="22"/>
    </row>
    <row r="50">
      <c r="A50" s="15" t="s">
        <v>160</v>
      </c>
      <c r="B50" s="16"/>
      <c r="C50" s="16"/>
      <c r="D50" s="16"/>
      <c r="E50" s="15" t="s">
        <v>165</v>
      </c>
      <c r="F50" s="16"/>
      <c r="G50" s="16"/>
      <c r="H50" s="16"/>
    </row>
    <row r="51">
      <c r="A51" s="15" t="s">
        <v>166</v>
      </c>
      <c r="B51" s="16"/>
      <c r="C51" s="16"/>
      <c r="D51" s="16"/>
      <c r="E51" s="15" t="s">
        <v>167</v>
      </c>
      <c r="F51" s="16"/>
      <c r="G51" s="16"/>
      <c r="H51" s="16"/>
    </row>
    <row r="52">
      <c r="A52" s="15" t="s">
        <v>169</v>
      </c>
      <c r="B52" s="16"/>
      <c r="C52" s="16"/>
      <c r="D52" s="16"/>
      <c r="E52" s="15" t="s">
        <v>172</v>
      </c>
      <c r="F52" s="16"/>
      <c r="G52" s="16"/>
      <c r="H52" s="16"/>
    </row>
    <row r="53">
      <c r="A53" s="21" t="s">
        <v>175</v>
      </c>
      <c r="B53" s="22"/>
      <c r="C53" s="22"/>
      <c r="D53" s="22"/>
      <c r="E53" s="21" t="s">
        <v>176</v>
      </c>
      <c r="F53" s="22"/>
      <c r="G53" s="22"/>
      <c r="H53" s="22"/>
    </row>
    <row r="54">
      <c r="A54" s="15" t="s">
        <v>177</v>
      </c>
      <c r="B54" s="16"/>
      <c r="C54" s="16"/>
      <c r="D54" s="16"/>
      <c r="E54" s="15" t="s">
        <v>178</v>
      </c>
      <c r="F54" s="16"/>
      <c r="G54" s="16"/>
      <c r="H54" s="16"/>
    </row>
    <row r="55">
      <c r="A55" s="21" t="s">
        <v>179</v>
      </c>
      <c r="B55" s="22"/>
      <c r="C55" s="22"/>
      <c r="D55" s="22"/>
      <c r="E55" s="21" t="s">
        <v>181</v>
      </c>
      <c r="F55" s="22"/>
      <c r="G55" s="22"/>
      <c r="H55" s="22"/>
    </row>
    <row r="56">
      <c r="A56" s="21" t="s">
        <v>183</v>
      </c>
      <c r="B56" s="22"/>
      <c r="C56" s="22"/>
      <c r="D56" s="22"/>
      <c r="E56" s="21" t="s">
        <v>186</v>
      </c>
      <c r="F56" s="22"/>
      <c r="G56" s="22"/>
      <c r="H56" s="22"/>
    </row>
    <row r="57">
      <c r="A57" s="21" t="s">
        <v>187</v>
      </c>
      <c r="B57" s="22"/>
      <c r="C57" s="22"/>
      <c r="D57" s="22"/>
      <c r="E57" s="21" t="s">
        <v>189</v>
      </c>
      <c r="F57" s="22"/>
      <c r="G57" s="22"/>
      <c r="H57" s="22"/>
    </row>
    <row r="58">
      <c r="A58" s="15" t="s">
        <v>190</v>
      </c>
      <c r="B58" s="16"/>
      <c r="C58" s="16"/>
      <c r="D58" s="16"/>
      <c r="E58" s="15" t="s">
        <v>191</v>
      </c>
      <c r="F58" s="16"/>
      <c r="G58" s="16"/>
      <c r="H58" s="16"/>
    </row>
    <row r="59">
      <c r="A59" s="15" t="s">
        <v>185</v>
      </c>
      <c r="B59" s="16"/>
      <c r="C59" s="16"/>
      <c r="D59" s="16"/>
      <c r="E59" s="15" t="s">
        <v>194</v>
      </c>
      <c r="F59" s="16"/>
      <c r="G59" s="16"/>
      <c r="H59" s="16"/>
    </row>
    <row r="60">
      <c r="A60" s="44" t="s">
        <v>195</v>
      </c>
      <c r="B60" s="49"/>
      <c r="C60" s="46"/>
      <c r="D60" s="46"/>
      <c r="E60" s="53" t="s">
        <v>198</v>
      </c>
      <c r="F60" s="46"/>
      <c r="G60" s="46"/>
      <c r="H60" s="46"/>
    </row>
    <row r="61">
      <c r="A61" s="15" t="s">
        <v>200</v>
      </c>
      <c r="B61" s="16"/>
      <c r="C61" s="16"/>
      <c r="D61" s="16"/>
      <c r="E61" s="15" t="s">
        <v>201</v>
      </c>
      <c r="F61" s="16"/>
      <c r="G61" s="16"/>
      <c r="H61" s="16"/>
    </row>
    <row r="62">
      <c r="A62" s="21" t="s">
        <v>202</v>
      </c>
      <c r="B62" s="22"/>
      <c r="C62" s="22"/>
      <c r="D62" s="22"/>
      <c r="E62" s="21" t="s">
        <v>203</v>
      </c>
      <c r="F62" s="22"/>
      <c r="G62" s="22"/>
      <c r="H62" s="22"/>
    </row>
    <row r="63">
      <c r="A63" s="15" t="s">
        <v>168</v>
      </c>
      <c r="B63" s="16"/>
      <c r="C63" s="16"/>
      <c r="D63" s="16"/>
      <c r="E63" s="15" t="s">
        <v>205</v>
      </c>
      <c r="F63" s="16"/>
      <c r="G63" s="16"/>
      <c r="H63" s="16"/>
    </row>
    <row r="64">
      <c r="A64" s="15" t="s">
        <v>207</v>
      </c>
      <c r="B64" s="16"/>
      <c r="C64" s="16"/>
      <c r="D64" s="16"/>
      <c r="E64" s="15" t="s">
        <v>208</v>
      </c>
      <c r="F64" s="16"/>
      <c r="G64" s="16"/>
      <c r="H64" s="16"/>
    </row>
    <row r="65">
      <c r="A65" s="15" t="s">
        <v>193</v>
      </c>
      <c r="B65" s="16"/>
      <c r="C65" s="16"/>
      <c r="D65" s="16"/>
      <c r="E65" s="15" t="s">
        <v>210</v>
      </c>
      <c r="F65" s="16"/>
      <c r="G65" s="16"/>
      <c r="H65" s="16"/>
    </row>
    <row r="66">
      <c r="A66" s="15" t="s">
        <v>211</v>
      </c>
      <c r="B66" s="16"/>
      <c r="C66" s="16"/>
      <c r="D66" s="16"/>
      <c r="E66" s="15" t="s">
        <v>212</v>
      </c>
      <c r="F66" s="16"/>
      <c r="G66" s="16"/>
      <c r="H66" s="16"/>
    </row>
    <row r="67">
      <c r="A67" s="21" t="s">
        <v>213</v>
      </c>
      <c r="B67" s="11"/>
      <c r="C67" s="22"/>
      <c r="D67" s="22"/>
      <c r="E67" s="21" t="s">
        <v>215</v>
      </c>
      <c r="F67" s="22"/>
      <c r="G67" s="22"/>
      <c r="H67" s="22"/>
    </row>
    <row r="68">
      <c r="A68" s="21" t="s">
        <v>219</v>
      </c>
      <c r="B68" s="22"/>
      <c r="C68" s="22"/>
      <c r="D68" s="22"/>
      <c r="E68" s="21" t="s">
        <v>220</v>
      </c>
      <c r="F68" s="22"/>
      <c r="G68" s="22"/>
      <c r="H68" s="22"/>
    </row>
    <row r="69">
      <c r="A69" s="15" t="s">
        <v>221</v>
      </c>
      <c r="B69" s="16"/>
      <c r="C69" s="16"/>
      <c r="D69" s="16"/>
      <c r="E69" s="15" t="s">
        <v>222</v>
      </c>
      <c r="F69" s="16"/>
      <c r="G69" s="16"/>
      <c r="H69" s="16"/>
    </row>
    <row r="70">
      <c r="A70" s="15" t="s">
        <v>223</v>
      </c>
      <c r="B70" s="16"/>
      <c r="C70" s="16"/>
      <c r="D70" s="16"/>
      <c r="E70" s="15" t="s">
        <v>224</v>
      </c>
      <c r="F70" s="16"/>
      <c r="G70" s="16"/>
      <c r="H70" s="16"/>
    </row>
    <row r="71">
      <c r="A71" s="15" t="s">
        <v>225</v>
      </c>
      <c r="B71" s="16"/>
      <c r="C71" s="16"/>
      <c r="D71" s="16"/>
      <c r="E71" s="15" t="s">
        <v>226</v>
      </c>
      <c r="F71" s="16"/>
      <c r="G71" s="16"/>
      <c r="H71" s="16"/>
    </row>
    <row r="72">
      <c r="A72" s="15" t="s">
        <v>228</v>
      </c>
      <c r="B72" s="16"/>
      <c r="C72" s="16"/>
      <c r="D72" s="16"/>
      <c r="E72" s="15" t="s">
        <v>230</v>
      </c>
      <c r="F72" s="16"/>
      <c r="G72" s="16"/>
      <c r="H72" s="16"/>
    </row>
    <row r="73">
      <c r="A73" s="15" t="s">
        <v>232</v>
      </c>
      <c r="B73" s="16"/>
      <c r="C73" s="16"/>
      <c r="D73" s="16"/>
      <c r="E73" s="15" t="s">
        <v>233</v>
      </c>
      <c r="F73" s="16"/>
      <c r="G73" s="16"/>
      <c r="H73" s="16"/>
    </row>
    <row r="74">
      <c r="A74" s="15" t="s">
        <v>235</v>
      </c>
      <c r="B74" s="16"/>
      <c r="C74" s="16"/>
      <c r="D74" s="16"/>
      <c r="E74" s="15" t="s">
        <v>236</v>
      </c>
      <c r="F74" s="16"/>
      <c r="G74" s="16"/>
      <c r="H74" s="16"/>
    </row>
    <row r="75">
      <c r="A75" s="21" t="s">
        <v>237</v>
      </c>
      <c r="B75" s="22"/>
      <c r="C75" s="22"/>
      <c r="D75" s="22"/>
      <c r="E75" s="21" t="s">
        <v>239</v>
      </c>
      <c r="F75" s="22"/>
      <c r="G75" s="22"/>
      <c r="H75" s="22"/>
    </row>
    <row r="76">
      <c r="A76" s="21" t="s">
        <v>240</v>
      </c>
      <c r="B76" s="22"/>
      <c r="C76" s="22"/>
      <c r="D76" s="22"/>
      <c r="E76" s="21" t="s">
        <v>242</v>
      </c>
      <c r="F76" s="22"/>
      <c r="G76" s="22"/>
      <c r="H76" s="22"/>
    </row>
    <row r="77">
      <c r="A77" s="21" t="s">
        <v>243</v>
      </c>
      <c r="B77" s="22"/>
      <c r="C77" s="22"/>
      <c r="D77" s="22"/>
      <c r="E77" s="21" t="s">
        <v>245</v>
      </c>
      <c r="F77" s="22"/>
      <c r="G77" s="22"/>
      <c r="H77" s="22"/>
    </row>
    <row r="78">
      <c r="A78" s="21" t="s">
        <v>246</v>
      </c>
      <c r="B78" s="22"/>
      <c r="C78" s="22"/>
      <c r="D78" s="22"/>
      <c r="E78" s="21" t="s">
        <v>247</v>
      </c>
      <c r="F78" s="22"/>
      <c r="G78" s="22"/>
      <c r="H78" s="22"/>
    </row>
    <row r="79">
      <c r="A79" s="21" t="s">
        <v>249</v>
      </c>
      <c r="B79" s="13"/>
      <c r="C79" s="22"/>
      <c r="D79" s="22"/>
      <c r="E79" s="21" t="s">
        <v>251</v>
      </c>
      <c r="F79" s="22"/>
      <c r="G79" s="13" t="s">
        <v>253</v>
      </c>
      <c r="H79" s="22"/>
    </row>
    <row r="80">
      <c r="A80" s="21" t="s">
        <v>254</v>
      </c>
      <c r="B80" s="22"/>
      <c r="C80" s="22"/>
      <c r="D80" s="22"/>
      <c r="E80" s="21" t="s">
        <v>255</v>
      </c>
      <c r="F80" s="22"/>
      <c r="G80" s="22"/>
      <c r="H80" s="22"/>
    </row>
    <row r="81">
      <c r="A81" s="15" t="s">
        <v>256</v>
      </c>
      <c r="B81" s="16"/>
      <c r="C81" s="16"/>
      <c r="D81" s="16"/>
      <c r="E81" s="15" t="s">
        <v>258</v>
      </c>
      <c r="F81" s="16"/>
      <c r="G81" s="16"/>
      <c r="H81" s="16"/>
    </row>
    <row r="82">
      <c r="A82" s="15" t="s">
        <v>261</v>
      </c>
      <c r="B82" s="16"/>
      <c r="C82" s="16"/>
      <c r="D82" s="16"/>
      <c r="E82" s="15" t="s">
        <v>263</v>
      </c>
      <c r="F82" s="16"/>
      <c r="G82" s="16"/>
      <c r="H82" s="16"/>
    </row>
    <row r="83">
      <c r="A83" s="21" t="s">
        <v>267</v>
      </c>
      <c r="B83" s="22"/>
      <c r="C83" s="22"/>
      <c r="D83" s="22"/>
      <c r="E83" s="21" t="s">
        <v>268</v>
      </c>
      <c r="F83" s="22"/>
      <c r="G83" s="22"/>
      <c r="H83" s="22"/>
    </row>
    <row r="84">
      <c r="A84" s="15" t="s">
        <v>270</v>
      </c>
      <c r="B84" s="16"/>
      <c r="C84" s="16"/>
      <c r="D84" s="16"/>
      <c r="E84" s="15" t="s">
        <v>271</v>
      </c>
      <c r="F84" s="16"/>
      <c r="G84" s="16"/>
      <c r="H84" s="16"/>
    </row>
    <row r="85">
      <c r="A85" s="15" t="s">
        <v>272</v>
      </c>
      <c r="B85" s="16"/>
      <c r="C85" s="16"/>
      <c r="D85" s="16"/>
      <c r="E85" s="15" t="s">
        <v>274</v>
      </c>
      <c r="F85" s="16"/>
      <c r="G85" s="16"/>
      <c r="H85" s="16"/>
    </row>
    <row r="86">
      <c r="A86" s="15" t="s">
        <v>273</v>
      </c>
      <c r="B86" s="16"/>
      <c r="C86" s="16"/>
      <c r="D86" s="16"/>
      <c r="E86" s="15" t="s">
        <v>277</v>
      </c>
      <c r="F86" s="16"/>
      <c r="G86" s="16"/>
      <c r="H86" s="16"/>
    </row>
    <row r="87">
      <c r="A87" s="15" t="s">
        <v>278</v>
      </c>
      <c r="B87" s="16"/>
      <c r="C87" s="16"/>
      <c r="D87" s="16"/>
      <c r="E87" s="15" t="s">
        <v>279</v>
      </c>
      <c r="F87" s="16"/>
      <c r="G87" s="16"/>
      <c r="H87" s="16"/>
    </row>
    <row r="88">
      <c r="A88" s="15" t="s">
        <v>282</v>
      </c>
      <c r="B88" s="16"/>
      <c r="C88" s="16"/>
      <c r="D88" s="16"/>
      <c r="E88" s="15" t="s">
        <v>283</v>
      </c>
      <c r="F88" s="16"/>
      <c r="G88" s="16"/>
      <c r="H88" s="16"/>
    </row>
    <row r="89">
      <c r="A89" s="15" t="s">
        <v>284</v>
      </c>
      <c r="B89" s="16"/>
      <c r="C89" s="16"/>
      <c r="D89" s="16"/>
      <c r="E89" s="15" t="s">
        <v>286</v>
      </c>
      <c r="F89" s="16"/>
      <c r="G89" s="16"/>
      <c r="H89" s="16"/>
    </row>
    <row r="90">
      <c r="A90" s="15" t="s">
        <v>288</v>
      </c>
      <c r="B90" s="16"/>
      <c r="C90" s="16"/>
      <c r="D90" s="16"/>
      <c r="E90" s="15" t="s">
        <v>291</v>
      </c>
      <c r="F90" s="16"/>
      <c r="G90" s="16"/>
      <c r="H90" s="16"/>
    </row>
    <row r="91">
      <c r="A91" s="21" t="s">
        <v>292</v>
      </c>
      <c r="B91" s="22"/>
      <c r="C91" s="22"/>
      <c r="D91" s="22"/>
      <c r="E91" s="21" t="s">
        <v>293</v>
      </c>
      <c r="F91" s="22"/>
      <c r="G91" s="22"/>
      <c r="H91" s="22"/>
    </row>
    <row r="92">
      <c r="A92" s="21" t="s">
        <v>294</v>
      </c>
      <c r="B92" s="22"/>
      <c r="C92" s="22"/>
      <c r="D92" s="22"/>
      <c r="E92" s="21" t="s">
        <v>297</v>
      </c>
      <c r="F92" s="22"/>
      <c r="G92" s="22"/>
      <c r="H92" s="22"/>
    </row>
    <row r="93">
      <c r="A93" s="15" t="s">
        <v>298</v>
      </c>
      <c r="B93" s="16"/>
      <c r="C93" s="16"/>
      <c r="D93" s="16"/>
      <c r="E93" s="15" t="s">
        <v>299</v>
      </c>
      <c r="F93" s="16"/>
      <c r="G93" s="16"/>
      <c r="H93" s="16"/>
    </row>
    <row r="94">
      <c r="A94" s="21" t="s">
        <v>300</v>
      </c>
      <c r="B94" s="22"/>
      <c r="C94" s="22"/>
      <c r="D94" s="22"/>
      <c r="E94" s="21" t="s">
        <v>301</v>
      </c>
      <c r="F94" s="22"/>
      <c r="G94" s="22"/>
      <c r="H94" s="22"/>
    </row>
    <row r="95">
      <c r="A95" s="21" t="s">
        <v>303</v>
      </c>
      <c r="B95" s="22"/>
      <c r="C95" s="22"/>
      <c r="D95" s="22"/>
      <c r="E95" s="21" t="s">
        <v>305</v>
      </c>
      <c r="F95" s="22"/>
      <c r="G95" s="22"/>
      <c r="H95" s="22"/>
    </row>
    <row r="96">
      <c r="A96" s="21" t="s">
        <v>306</v>
      </c>
      <c r="B96" s="22"/>
      <c r="C96" s="22"/>
      <c r="D96" s="22"/>
      <c r="E96" s="21" t="s">
        <v>307</v>
      </c>
      <c r="F96" s="22"/>
      <c r="G96" s="22"/>
      <c r="H96" s="22"/>
    </row>
    <row r="97">
      <c r="A97" s="15" t="s">
        <v>308</v>
      </c>
      <c r="B97" s="16"/>
      <c r="C97" s="16"/>
      <c r="D97" s="16"/>
      <c r="E97" s="15" t="s">
        <v>312</v>
      </c>
      <c r="F97" s="16"/>
      <c r="G97" s="16"/>
      <c r="H97" s="16"/>
    </row>
    <row r="98">
      <c r="A98" s="15" t="s">
        <v>313</v>
      </c>
      <c r="B98" s="16"/>
      <c r="C98" s="16"/>
      <c r="D98" s="16"/>
      <c r="E98" s="15" t="s">
        <v>314</v>
      </c>
      <c r="F98" s="16"/>
      <c r="G98" s="16"/>
      <c r="H98" s="16"/>
    </row>
    <row r="99">
      <c r="A99" s="21" t="s">
        <v>315</v>
      </c>
      <c r="B99" s="22"/>
      <c r="C99" s="22"/>
      <c r="D99" s="22"/>
      <c r="E99" s="21" t="s">
        <v>317</v>
      </c>
      <c r="F99" s="22"/>
      <c r="G99" s="22"/>
      <c r="H99" s="22"/>
    </row>
    <row r="100">
      <c r="A100" s="21" t="s">
        <v>319</v>
      </c>
      <c r="B100" s="22"/>
      <c r="C100" s="22"/>
      <c r="D100" s="22"/>
      <c r="E100" s="21" t="s">
        <v>320</v>
      </c>
      <c r="F100" s="22"/>
      <c r="G100" s="22"/>
      <c r="H100" s="22"/>
    </row>
    <row r="101">
      <c r="A101" s="21" t="s">
        <v>322</v>
      </c>
      <c r="B101" s="22"/>
      <c r="C101" s="22"/>
      <c r="D101" s="22"/>
      <c r="E101" s="21" t="s">
        <v>324</v>
      </c>
      <c r="F101" s="22"/>
      <c r="G101" s="13" t="s">
        <v>325</v>
      </c>
      <c r="H101" s="22"/>
    </row>
    <row r="102">
      <c r="A102" s="21" t="s">
        <v>327</v>
      </c>
      <c r="B102" s="22"/>
      <c r="C102" s="22"/>
      <c r="D102" s="22"/>
      <c r="E102" s="21" t="s">
        <v>328</v>
      </c>
      <c r="F102" s="22"/>
      <c r="G102" s="22"/>
      <c r="H102" s="22"/>
    </row>
    <row r="103">
      <c r="A103" s="21" t="s">
        <v>329</v>
      </c>
      <c r="B103" s="22"/>
      <c r="C103" s="22"/>
      <c r="D103" s="22"/>
      <c r="E103" s="21" t="s">
        <v>330</v>
      </c>
      <c r="F103" s="22"/>
      <c r="G103" s="22"/>
      <c r="H103" s="22"/>
    </row>
    <row r="104">
      <c r="A104" s="15" t="s">
        <v>323</v>
      </c>
      <c r="B104" s="16"/>
      <c r="C104" s="16"/>
      <c r="D104" s="16"/>
      <c r="E104" s="15" t="s">
        <v>333</v>
      </c>
      <c r="F104" s="16"/>
      <c r="G104" s="16"/>
      <c r="H104" s="16"/>
    </row>
    <row r="105">
      <c r="A105" s="21" t="s">
        <v>334</v>
      </c>
      <c r="B105" s="22"/>
      <c r="C105" s="22"/>
      <c r="D105" s="22"/>
      <c r="E105" s="21" t="s">
        <v>336</v>
      </c>
      <c r="F105" s="22"/>
      <c r="G105" s="22"/>
      <c r="H105" s="22"/>
    </row>
    <row r="106">
      <c r="A106" s="30" t="s">
        <v>339</v>
      </c>
      <c r="B106" s="32"/>
      <c r="C106" s="33"/>
      <c r="D106" s="33"/>
      <c r="E106" s="30" t="s">
        <v>343</v>
      </c>
      <c r="F106" s="33"/>
      <c r="G106" s="33"/>
      <c r="H106" s="33"/>
    </row>
    <row r="107">
      <c r="A107" s="21" t="s">
        <v>345</v>
      </c>
      <c r="B107" s="22"/>
      <c r="C107" s="22"/>
      <c r="D107" s="22"/>
      <c r="E107" s="21" t="s">
        <v>347</v>
      </c>
      <c r="F107" s="22"/>
      <c r="G107" s="22"/>
      <c r="H107" s="22"/>
    </row>
    <row r="108">
      <c r="A108" s="21" t="s">
        <v>349</v>
      </c>
      <c r="B108" s="22"/>
      <c r="C108" s="22"/>
      <c r="D108" s="22"/>
      <c r="E108" s="21" t="s">
        <v>350</v>
      </c>
      <c r="F108" s="22"/>
      <c r="G108" s="22"/>
      <c r="H108" s="22"/>
    </row>
    <row r="109">
      <c r="A109" s="15" t="s">
        <v>341</v>
      </c>
      <c r="B109" s="16"/>
      <c r="C109" s="16"/>
      <c r="D109" s="16"/>
      <c r="E109" s="15" t="s">
        <v>353</v>
      </c>
      <c r="F109" s="16"/>
      <c r="G109" s="16"/>
      <c r="H109" s="16"/>
    </row>
    <row r="110">
      <c r="A110" s="21" t="s">
        <v>357</v>
      </c>
      <c r="B110" s="22"/>
      <c r="C110" s="22"/>
      <c r="D110" s="22"/>
      <c r="E110" s="21" t="s">
        <v>358</v>
      </c>
      <c r="F110" s="22"/>
      <c r="G110" s="22"/>
      <c r="H110" s="22"/>
    </row>
    <row r="111">
      <c r="A111" s="15" t="s">
        <v>359</v>
      </c>
      <c r="B111" s="16"/>
      <c r="C111" s="16"/>
      <c r="D111" s="16"/>
      <c r="E111" s="15" t="s">
        <v>362</v>
      </c>
      <c r="F111" s="16"/>
      <c r="G111" s="16"/>
      <c r="H111" s="16"/>
    </row>
    <row r="112">
      <c r="A112" s="15" t="s">
        <v>351</v>
      </c>
      <c r="B112" s="16"/>
      <c r="C112" s="16"/>
      <c r="D112" s="16"/>
      <c r="E112" s="15" t="s">
        <v>365</v>
      </c>
      <c r="F112" s="16"/>
      <c r="G112" s="16"/>
      <c r="H112" s="16"/>
    </row>
    <row r="113">
      <c r="A113" s="15" t="s">
        <v>368</v>
      </c>
      <c r="B113" s="16"/>
      <c r="C113" s="16"/>
      <c r="D113" s="16"/>
      <c r="E113" s="15" t="s">
        <v>370</v>
      </c>
      <c r="F113" s="16"/>
      <c r="G113" s="16"/>
      <c r="H113" s="16"/>
    </row>
    <row r="114">
      <c r="A114" s="15" t="s">
        <v>372</v>
      </c>
      <c r="B114" s="16"/>
      <c r="C114" s="16"/>
      <c r="D114" s="16"/>
      <c r="E114" s="15" t="s">
        <v>375</v>
      </c>
      <c r="F114" s="16"/>
      <c r="G114" s="16"/>
      <c r="H114" s="16"/>
    </row>
    <row r="115">
      <c r="A115" s="21" t="s">
        <v>377</v>
      </c>
      <c r="B115" s="22"/>
      <c r="C115" s="22"/>
      <c r="D115" s="22"/>
      <c r="E115" s="21" t="s">
        <v>379</v>
      </c>
      <c r="F115" s="22"/>
      <c r="G115" s="22"/>
      <c r="H115" s="22"/>
    </row>
    <row r="116">
      <c r="A116" s="15" t="s">
        <v>381</v>
      </c>
      <c r="B116" s="16"/>
      <c r="C116" s="16"/>
      <c r="D116" s="16"/>
      <c r="E116" s="15" t="s">
        <v>384</v>
      </c>
      <c r="F116" s="16"/>
      <c r="G116" s="16"/>
      <c r="H116" s="16"/>
    </row>
    <row r="117">
      <c r="A117" s="21" t="s">
        <v>386</v>
      </c>
      <c r="B117" s="22"/>
      <c r="C117" s="22"/>
      <c r="D117" s="22"/>
      <c r="E117" s="21" t="s">
        <v>388</v>
      </c>
      <c r="F117" s="22"/>
      <c r="G117" s="22"/>
      <c r="H117" s="22"/>
    </row>
    <row r="118">
      <c r="A118" s="15" t="s">
        <v>390</v>
      </c>
      <c r="B118" s="16"/>
      <c r="C118" s="16"/>
      <c r="D118" s="16"/>
      <c r="E118" s="15" t="s">
        <v>392</v>
      </c>
      <c r="F118" s="16"/>
      <c r="G118" s="16"/>
      <c r="H118" s="16"/>
    </row>
    <row r="119">
      <c r="A119" s="21" t="s">
        <v>393</v>
      </c>
      <c r="B119" s="22"/>
      <c r="C119" s="22"/>
      <c r="D119" s="22"/>
      <c r="E119" s="21" t="s">
        <v>394</v>
      </c>
      <c r="F119" s="22"/>
      <c r="G119" s="22"/>
      <c r="H119" s="22"/>
    </row>
    <row r="120">
      <c r="A120" s="21" t="s">
        <v>395</v>
      </c>
      <c r="B120" s="22"/>
      <c r="C120" s="22"/>
      <c r="D120" s="22"/>
      <c r="E120" s="21" t="s">
        <v>397</v>
      </c>
      <c r="F120" s="22"/>
      <c r="G120" s="22"/>
      <c r="H120" s="22"/>
    </row>
    <row r="121">
      <c r="A121" s="15" t="s">
        <v>369</v>
      </c>
      <c r="B121" s="16"/>
      <c r="C121" s="16"/>
      <c r="D121" s="16"/>
      <c r="E121" s="15" t="s">
        <v>374</v>
      </c>
      <c r="F121" s="16"/>
      <c r="G121" s="16"/>
      <c r="H121" s="16"/>
    </row>
    <row r="122">
      <c r="A122" s="44" t="s">
        <v>399</v>
      </c>
      <c r="B122" s="46"/>
      <c r="C122" s="46"/>
      <c r="D122" s="46"/>
      <c r="E122" s="44" t="s">
        <v>400</v>
      </c>
      <c r="F122" s="46"/>
      <c r="G122" s="46"/>
      <c r="H122" s="46"/>
    </row>
    <row r="123">
      <c r="A123" s="15" t="s">
        <v>402</v>
      </c>
      <c r="B123" s="16"/>
      <c r="C123" s="16"/>
      <c r="D123" s="16"/>
      <c r="E123" s="15" t="s">
        <v>404</v>
      </c>
      <c r="F123" s="16"/>
      <c r="G123" s="16"/>
      <c r="H123" s="16"/>
    </row>
    <row r="124">
      <c r="A124" s="15" t="s">
        <v>406</v>
      </c>
      <c r="B124" s="16"/>
      <c r="C124" s="16"/>
      <c r="D124" s="16"/>
      <c r="E124" s="15" t="s">
        <v>408</v>
      </c>
      <c r="F124" s="16"/>
      <c r="G124" s="16"/>
      <c r="H124" s="16"/>
    </row>
    <row r="125">
      <c r="A125" s="15" t="s">
        <v>391</v>
      </c>
      <c r="B125" s="16"/>
      <c r="C125" s="16"/>
      <c r="D125" s="16"/>
      <c r="E125" s="15" t="s">
        <v>410</v>
      </c>
      <c r="F125" s="16"/>
      <c r="G125" s="16"/>
      <c r="H125" s="16"/>
    </row>
    <row r="126">
      <c r="A126" s="15" t="s">
        <v>409</v>
      </c>
      <c r="B126" s="16"/>
      <c r="C126" s="16"/>
      <c r="D126" s="16"/>
      <c r="E126" s="15" t="s">
        <v>413</v>
      </c>
      <c r="F126" s="16"/>
      <c r="G126" s="16"/>
      <c r="H126" s="16"/>
    </row>
    <row r="127">
      <c r="A127" s="21" t="s">
        <v>415</v>
      </c>
      <c r="B127" s="22"/>
      <c r="C127" s="22"/>
      <c r="D127" s="22"/>
      <c r="E127" s="21" t="s">
        <v>417</v>
      </c>
      <c r="F127" s="22"/>
      <c r="G127" s="22"/>
      <c r="H127" s="22"/>
    </row>
    <row r="128">
      <c r="A128" s="64" t="s">
        <v>421</v>
      </c>
      <c r="B128" s="65"/>
      <c r="C128" s="65"/>
      <c r="D128" s="65"/>
      <c r="E128" s="64" t="s">
        <v>423</v>
      </c>
      <c r="F128" s="65"/>
      <c r="G128" s="65"/>
      <c r="H128" s="65"/>
    </row>
    <row r="129">
      <c r="A129" s="21" t="s">
        <v>426</v>
      </c>
      <c r="B129" s="22"/>
      <c r="C129" s="22"/>
      <c r="D129" s="22"/>
      <c r="E129" s="21" t="s">
        <v>427</v>
      </c>
      <c r="F129" s="22"/>
      <c r="G129" s="22"/>
      <c r="H129" s="22"/>
    </row>
    <row r="130">
      <c r="A130" s="21" t="s">
        <v>428</v>
      </c>
      <c r="B130" s="22"/>
      <c r="C130" s="22"/>
      <c r="D130" s="22"/>
      <c r="E130" s="21" t="s">
        <v>429</v>
      </c>
      <c r="F130" s="22"/>
      <c r="G130" s="22"/>
      <c r="H130" s="22"/>
    </row>
    <row r="131">
      <c r="A131" s="21" t="s">
        <v>432</v>
      </c>
      <c r="B131" s="22"/>
      <c r="C131" s="22"/>
      <c r="D131" s="22"/>
      <c r="E131" s="21" t="s">
        <v>435</v>
      </c>
      <c r="F131" s="22"/>
      <c r="G131" s="22"/>
      <c r="H131" s="22"/>
    </row>
    <row r="132">
      <c r="A132" s="21" t="s">
        <v>438</v>
      </c>
      <c r="B132" s="22"/>
      <c r="C132" s="22"/>
      <c r="D132" s="22"/>
      <c r="E132" s="21" t="s">
        <v>440</v>
      </c>
      <c r="F132" s="22"/>
      <c r="G132" s="22"/>
      <c r="H132" s="22"/>
    </row>
    <row r="133">
      <c r="A133" s="15" t="s">
        <v>420</v>
      </c>
      <c r="B133" s="16"/>
      <c r="C133" s="16"/>
      <c r="D133" s="16"/>
      <c r="E133" s="15" t="s">
        <v>443</v>
      </c>
      <c r="F133" s="16"/>
      <c r="G133" s="16"/>
      <c r="H133" s="16"/>
    </row>
    <row r="134">
      <c r="A134" s="15" t="s">
        <v>445</v>
      </c>
      <c r="B134" s="16"/>
      <c r="C134" s="16"/>
      <c r="D134" s="16"/>
      <c r="E134" s="15" t="s">
        <v>448</v>
      </c>
      <c r="F134" s="16"/>
      <c r="G134" s="16"/>
      <c r="H134" s="16"/>
    </row>
    <row r="135">
      <c r="A135" s="15" t="s">
        <v>451</v>
      </c>
      <c r="B135" s="16"/>
      <c r="C135" s="16"/>
      <c r="D135" s="16"/>
      <c r="E135" s="15" t="s">
        <v>453</v>
      </c>
      <c r="F135" s="16"/>
      <c r="G135" s="16"/>
      <c r="H135" s="16"/>
    </row>
    <row r="136">
      <c r="A136" s="21" t="s">
        <v>454</v>
      </c>
      <c r="B136" s="22"/>
      <c r="C136" s="22"/>
      <c r="D136" s="22"/>
      <c r="E136" s="21" t="s">
        <v>456</v>
      </c>
      <c r="F136" s="22"/>
      <c r="G136" s="22"/>
      <c r="H136" s="22"/>
    </row>
    <row r="137">
      <c r="A137" s="21" t="s">
        <v>457</v>
      </c>
      <c r="B137" s="22"/>
      <c r="C137" s="22"/>
      <c r="D137" s="22"/>
      <c r="E137" s="21" t="s">
        <v>458</v>
      </c>
      <c r="F137" s="22"/>
      <c r="G137" s="22"/>
      <c r="H137" s="22"/>
    </row>
    <row r="138">
      <c r="A138" s="15" t="s">
        <v>425</v>
      </c>
      <c r="B138" s="16"/>
      <c r="C138" s="16"/>
      <c r="D138" s="16"/>
      <c r="E138" s="15" t="s">
        <v>464</v>
      </c>
      <c r="F138" s="16"/>
      <c r="G138" s="16"/>
      <c r="H138" s="16"/>
    </row>
    <row r="139">
      <c r="A139" s="21" t="s">
        <v>465</v>
      </c>
      <c r="B139" s="22"/>
      <c r="C139" s="22"/>
      <c r="D139" s="22"/>
      <c r="E139" s="21" t="s">
        <v>468</v>
      </c>
      <c r="F139" s="22"/>
      <c r="G139" s="22"/>
      <c r="H139" s="22"/>
    </row>
    <row r="140">
      <c r="A140" s="21" t="s">
        <v>469</v>
      </c>
      <c r="B140" s="22"/>
      <c r="C140" s="22"/>
      <c r="D140" s="22"/>
      <c r="E140" s="21" t="s">
        <v>472</v>
      </c>
      <c r="F140" s="22"/>
      <c r="G140" s="22"/>
      <c r="H140" s="22"/>
    </row>
    <row r="141">
      <c r="A141" s="15" t="s">
        <v>474</v>
      </c>
      <c r="B141" s="16"/>
      <c r="C141" s="16"/>
      <c r="D141" s="16"/>
      <c r="E141" s="15" t="s">
        <v>476</v>
      </c>
      <c r="F141" s="16"/>
      <c r="G141" s="16"/>
      <c r="H141" s="16"/>
    </row>
    <row r="142">
      <c r="A142" s="15" t="s">
        <v>441</v>
      </c>
      <c r="B142" s="16"/>
      <c r="C142" s="16"/>
      <c r="D142" s="16"/>
      <c r="E142" s="15" t="s">
        <v>479</v>
      </c>
      <c r="F142" s="16"/>
      <c r="G142" s="16"/>
      <c r="H142" s="16"/>
    </row>
    <row r="143">
      <c r="A143" s="15" t="s">
        <v>482</v>
      </c>
      <c r="B143" s="16"/>
      <c r="C143" s="16"/>
      <c r="D143" s="16"/>
      <c r="E143" s="15" t="s">
        <v>484</v>
      </c>
      <c r="F143" s="16"/>
      <c r="G143" s="16"/>
      <c r="H143" s="16"/>
    </row>
    <row r="144">
      <c r="A144" s="15" t="s">
        <v>486</v>
      </c>
      <c r="B144" s="16"/>
      <c r="C144" s="16"/>
      <c r="D144" s="16"/>
      <c r="E144" s="15" t="s">
        <v>487</v>
      </c>
      <c r="F144" s="16"/>
      <c r="G144" s="16"/>
      <c r="H144" s="16"/>
    </row>
    <row r="145">
      <c r="A145" s="15" t="s">
        <v>488</v>
      </c>
      <c r="B145" s="16"/>
      <c r="C145" s="16"/>
      <c r="D145" s="16"/>
      <c r="E145" s="15" t="s">
        <v>492</v>
      </c>
      <c r="F145" s="16"/>
      <c r="G145" s="16"/>
      <c r="H145" s="16"/>
    </row>
    <row r="146">
      <c r="A146" s="15" t="s">
        <v>495</v>
      </c>
      <c r="B146" s="16"/>
      <c r="C146" s="16"/>
      <c r="D146" s="16"/>
      <c r="E146" s="15" t="s">
        <v>498</v>
      </c>
      <c r="F146" s="16"/>
      <c r="G146" s="16"/>
      <c r="H146" s="16"/>
    </row>
    <row r="147">
      <c r="A147" s="15" t="s">
        <v>502</v>
      </c>
      <c r="B147" s="16"/>
      <c r="C147" s="16"/>
      <c r="D147" s="16"/>
      <c r="E147" s="15" t="s">
        <v>503</v>
      </c>
      <c r="F147" s="16"/>
      <c r="G147" s="16"/>
      <c r="H147" s="16"/>
    </row>
    <row r="148">
      <c r="A148" s="21" t="s">
        <v>505</v>
      </c>
      <c r="B148" s="22"/>
      <c r="C148" s="22"/>
      <c r="D148" s="22"/>
      <c r="E148" s="21" t="s">
        <v>508</v>
      </c>
      <c r="F148" s="22"/>
      <c r="G148" s="22"/>
      <c r="H148" s="22"/>
    </row>
    <row r="149">
      <c r="A149" s="15" t="s">
        <v>513</v>
      </c>
      <c r="B149" s="16"/>
      <c r="C149" s="16"/>
      <c r="D149" s="16"/>
      <c r="E149" s="15" t="s">
        <v>514</v>
      </c>
      <c r="F149" s="16"/>
      <c r="G149" s="16"/>
      <c r="H149" s="16"/>
    </row>
    <row r="150">
      <c r="A150" s="15" t="s">
        <v>449</v>
      </c>
      <c r="B150" s="16"/>
      <c r="C150" s="16"/>
      <c r="D150" s="16"/>
      <c r="E150" s="15" t="s">
        <v>517</v>
      </c>
      <c r="F150" s="16"/>
      <c r="G150" s="16"/>
      <c r="H150" s="16"/>
    </row>
    <row r="151">
      <c r="A151" s="15" t="s">
        <v>518</v>
      </c>
      <c r="B151" s="16"/>
      <c r="C151" s="16"/>
      <c r="D151" s="16"/>
      <c r="E151" s="15" t="s">
        <v>519</v>
      </c>
      <c r="F151" s="16"/>
      <c r="G151" s="16"/>
      <c r="H151" s="16"/>
    </row>
    <row r="152">
      <c r="A152" s="15" t="s">
        <v>522</v>
      </c>
      <c r="B152" s="16"/>
      <c r="C152" s="16"/>
      <c r="D152" s="16"/>
      <c r="E152" s="15" t="s">
        <v>525</v>
      </c>
      <c r="F152" s="16"/>
      <c r="G152" s="16"/>
      <c r="H152" s="16"/>
    </row>
    <row r="153">
      <c r="A153" s="15" t="s">
        <v>527</v>
      </c>
      <c r="B153" s="16"/>
      <c r="C153" s="16"/>
      <c r="D153" s="16"/>
      <c r="E153" s="15" t="s">
        <v>530</v>
      </c>
      <c r="F153" s="16"/>
      <c r="G153" s="16"/>
      <c r="H153" s="16"/>
    </row>
    <row r="154">
      <c r="A154" s="15" t="s">
        <v>512</v>
      </c>
      <c r="B154" s="16"/>
      <c r="C154" s="16"/>
      <c r="D154" s="16"/>
      <c r="E154" s="15" t="s">
        <v>536</v>
      </c>
      <c r="F154" s="16"/>
      <c r="G154" s="16"/>
      <c r="H154" s="16"/>
    </row>
    <row r="155">
      <c r="A155" s="15" t="s">
        <v>538</v>
      </c>
      <c r="B155" s="16"/>
      <c r="C155" s="16"/>
      <c r="D155" s="16"/>
      <c r="E155" s="15" t="s">
        <v>539</v>
      </c>
      <c r="F155" s="16"/>
      <c r="G155" s="16"/>
      <c r="H155" s="16"/>
    </row>
    <row r="156">
      <c r="A156" s="15" t="s">
        <v>521</v>
      </c>
      <c r="B156" s="16"/>
      <c r="C156" s="16"/>
      <c r="D156" s="16"/>
      <c r="E156" s="15" t="s">
        <v>543</v>
      </c>
      <c r="F156" s="16"/>
      <c r="G156" s="16"/>
      <c r="H156" s="16"/>
    </row>
    <row r="157">
      <c r="A157" s="15" t="s">
        <v>446</v>
      </c>
      <c r="B157" s="16"/>
      <c r="C157" s="16"/>
      <c r="D157" s="16"/>
      <c r="E157" s="15" t="s">
        <v>544</v>
      </c>
      <c r="F157" s="16"/>
      <c r="G157" s="16"/>
      <c r="H157" s="16"/>
    </row>
    <row r="158">
      <c r="A158" s="15" t="s">
        <v>452</v>
      </c>
      <c r="B158" s="16"/>
      <c r="C158" s="16"/>
      <c r="D158" s="16"/>
      <c r="E158" s="15" t="s">
        <v>547</v>
      </c>
      <c r="F158" s="16"/>
      <c r="G158" s="16"/>
      <c r="H158" s="16"/>
    </row>
    <row r="159">
      <c r="A159" s="21" t="s">
        <v>549</v>
      </c>
      <c r="B159" s="22"/>
      <c r="C159" s="22"/>
      <c r="D159" s="22"/>
      <c r="E159" s="21" t="s">
        <v>551</v>
      </c>
      <c r="F159" s="22"/>
      <c r="G159" s="22"/>
      <c r="H159" s="22"/>
    </row>
    <row r="160">
      <c r="A160" s="15" t="s">
        <v>553</v>
      </c>
      <c r="B160" s="16"/>
      <c r="C160" s="16"/>
      <c r="D160" s="16"/>
      <c r="E160" s="15" t="s">
        <v>555</v>
      </c>
      <c r="F160" s="16"/>
      <c r="G160" s="16"/>
      <c r="H160" s="16"/>
    </row>
    <row r="161">
      <c r="A161" s="15" t="s">
        <v>558</v>
      </c>
      <c r="B161" s="16"/>
      <c r="C161" s="16"/>
      <c r="D161" s="16"/>
      <c r="E161" s="15" t="s">
        <v>561</v>
      </c>
      <c r="F161" s="16"/>
      <c r="G161" s="16"/>
      <c r="H161" s="16"/>
    </row>
    <row r="162">
      <c r="A162" s="21" t="s">
        <v>564</v>
      </c>
      <c r="B162" s="22"/>
      <c r="C162" s="22"/>
      <c r="D162" s="22"/>
      <c r="E162" s="21" t="s">
        <v>567</v>
      </c>
      <c r="F162" s="22"/>
      <c r="G162" s="22"/>
      <c r="H162" s="22"/>
    </row>
    <row r="163">
      <c r="A163" s="15" t="s">
        <v>569</v>
      </c>
      <c r="B163" s="16"/>
      <c r="C163" s="16"/>
      <c r="D163" s="16"/>
      <c r="E163" s="15" t="s">
        <v>572</v>
      </c>
      <c r="F163" s="16"/>
      <c r="G163" s="16"/>
      <c r="H163" s="16"/>
    </row>
    <row r="164">
      <c r="A164" s="21" t="s">
        <v>574</v>
      </c>
      <c r="B164" s="22"/>
      <c r="C164" s="22"/>
      <c r="D164" s="22"/>
      <c r="E164" s="21" t="s">
        <v>576</v>
      </c>
      <c r="F164" s="22"/>
      <c r="G164" s="22"/>
      <c r="H164" s="22"/>
    </row>
    <row r="165">
      <c r="A165" s="15" t="s">
        <v>542</v>
      </c>
      <c r="B165" s="16"/>
      <c r="C165" s="16"/>
      <c r="D165" s="16"/>
      <c r="E165" s="15" t="s">
        <v>583</v>
      </c>
      <c r="F165" s="16"/>
      <c r="G165" s="16"/>
      <c r="H165" s="16"/>
    </row>
    <row r="166">
      <c r="A166" s="15" t="s">
        <v>585</v>
      </c>
      <c r="B166" s="16"/>
      <c r="C166" s="16"/>
      <c r="D166" s="16"/>
      <c r="E166" s="15" t="s">
        <v>588</v>
      </c>
      <c r="F166" s="16"/>
      <c r="G166" s="16"/>
      <c r="H166" s="16"/>
    </row>
    <row r="167">
      <c r="A167" s="15" t="s">
        <v>592</v>
      </c>
      <c r="B167" s="16"/>
      <c r="C167" s="16"/>
      <c r="D167" s="16"/>
      <c r="E167" s="15" t="s">
        <v>594</v>
      </c>
      <c r="F167" s="16"/>
      <c r="G167" s="16"/>
      <c r="H167" s="16"/>
    </row>
    <row r="168">
      <c r="A168" s="15" t="s">
        <v>546</v>
      </c>
      <c r="B168" s="16"/>
      <c r="C168" s="16"/>
      <c r="D168" s="16"/>
      <c r="E168" s="15" t="s">
        <v>597</v>
      </c>
      <c r="F168" s="16"/>
      <c r="G168" s="16"/>
      <c r="H168" s="16"/>
    </row>
    <row r="169">
      <c r="A169" s="15" t="s">
        <v>599</v>
      </c>
      <c r="B169" s="16"/>
      <c r="C169" s="16"/>
      <c r="D169" s="16"/>
      <c r="E169" s="15" t="s">
        <v>603</v>
      </c>
      <c r="F169" s="16"/>
      <c r="G169" s="16"/>
      <c r="H169" s="16"/>
    </row>
    <row r="170">
      <c r="A170" s="15" t="s">
        <v>606</v>
      </c>
      <c r="B170" s="16"/>
      <c r="C170" s="16"/>
      <c r="D170" s="16"/>
      <c r="E170" s="15" t="s">
        <v>607</v>
      </c>
      <c r="F170" s="16"/>
      <c r="G170" s="16"/>
      <c r="H170" s="16"/>
    </row>
    <row r="171">
      <c r="A171" s="15" t="s">
        <v>608</v>
      </c>
      <c r="B171" s="16"/>
      <c r="C171" s="16"/>
      <c r="D171" s="16"/>
      <c r="E171" s="15" t="s">
        <v>610</v>
      </c>
      <c r="F171" s="16"/>
      <c r="G171" s="16"/>
      <c r="H171" s="16"/>
    </row>
    <row r="172">
      <c r="A172" s="21" t="s">
        <v>611</v>
      </c>
      <c r="B172" s="22"/>
      <c r="C172" s="22"/>
      <c r="D172" s="22"/>
      <c r="E172" s="21" t="s">
        <v>612</v>
      </c>
      <c r="F172" s="22"/>
      <c r="G172" s="22"/>
      <c r="H172" s="22"/>
    </row>
    <row r="173">
      <c r="A173" s="21" t="s">
        <v>614</v>
      </c>
      <c r="B173" s="22"/>
      <c r="C173" s="22"/>
      <c r="D173" s="22"/>
      <c r="E173" s="21" t="s">
        <v>615</v>
      </c>
      <c r="F173" s="22"/>
      <c r="G173" s="22"/>
      <c r="H173" s="22"/>
    </row>
    <row r="174">
      <c r="A174" s="15" t="s">
        <v>617</v>
      </c>
      <c r="B174" s="16"/>
      <c r="C174" s="16"/>
      <c r="D174" s="16"/>
      <c r="E174" s="15" t="s">
        <v>618</v>
      </c>
      <c r="F174" s="16"/>
      <c r="G174" s="16"/>
      <c r="H174" s="16"/>
    </row>
    <row r="175">
      <c r="A175" s="71" t="s">
        <v>619</v>
      </c>
      <c r="B175" s="72"/>
      <c r="C175" s="72"/>
      <c r="D175" s="72"/>
      <c r="E175" s="71" t="s">
        <v>620</v>
      </c>
      <c r="F175" s="72"/>
      <c r="G175" s="72"/>
      <c r="H175" s="72"/>
    </row>
    <row r="176">
      <c r="A176" s="15" t="s">
        <v>622</v>
      </c>
      <c r="B176" s="16"/>
      <c r="C176" s="16"/>
      <c r="D176" s="16"/>
      <c r="E176" s="15" t="s">
        <v>624</v>
      </c>
      <c r="F176" s="16"/>
      <c r="G176" s="16"/>
      <c r="H176" s="16"/>
    </row>
    <row r="177">
      <c r="A177" s="15" t="s">
        <v>625</v>
      </c>
      <c r="B177" s="16"/>
      <c r="C177" s="16"/>
      <c r="D177" s="16"/>
      <c r="E177" s="15" t="s">
        <v>626</v>
      </c>
      <c r="F177" s="16"/>
      <c r="G177" s="16"/>
      <c r="H177" s="16"/>
    </row>
    <row r="178">
      <c r="A178" s="15" t="s">
        <v>556</v>
      </c>
      <c r="B178" s="16"/>
      <c r="C178" s="16"/>
      <c r="D178" s="16"/>
      <c r="E178" s="15" t="s">
        <v>628</v>
      </c>
      <c r="F178" s="16"/>
      <c r="G178" s="16"/>
      <c r="H178" s="16"/>
    </row>
    <row r="179">
      <c r="A179" s="21" t="s">
        <v>630</v>
      </c>
      <c r="B179" s="13" t="s">
        <v>632</v>
      </c>
      <c r="C179" s="22"/>
      <c r="D179" s="22"/>
      <c r="E179" s="21" t="s">
        <v>633</v>
      </c>
      <c r="F179" s="22"/>
      <c r="G179" s="22"/>
      <c r="H179" s="22"/>
    </row>
    <row r="180">
      <c r="A180" s="15" t="s">
        <v>634</v>
      </c>
      <c r="B180" s="16"/>
      <c r="C180" s="16"/>
      <c r="D180" s="16"/>
      <c r="E180" s="15" t="s">
        <v>635</v>
      </c>
      <c r="F180" s="16"/>
      <c r="G180" s="16"/>
      <c r="H180" s="16"/>
    </row>
    <row r="181">
      <c r="A181" s="15" t="s">
        <v>638</v>
      </c>
      <c r="B181" s="16"/>
      <c r="C181" s="16"/>
      <c r="D181" s="16"/>
      <c r="E181" s="15" t="s">
        <v>640</v>
      </c>
      <c r="F181" s="16"/>
      <c r="G181" s="16"/>
      <c r="H181" s="16"/>
    </row>
    <row r="182">
      <c r="A182" s="15" t="s">
        <v>642</v>
      </c>
      <c r="B182" s="16"/>
      <c r="C182" s="16"/>
      <c r="D182" s="16"/>
      <c r="E182" s="15" t="s">
        <v>643</v>
      </c>
      <c r="F182" s="16"/>
      <c r="G182" s="16"/>
      <c r="H182" s="16"/>
    </row>
    <row r="183">
      <c r="A183" s="21" t="s">
        <v>644</v>
      </c>
      <c r="B183" s="13" t="s">
        <v>644</v>
      </c>
      <c r="C183" s="22"/>
      <c r="D183" s="22"/>
      <c r="E183" s="21" t="s">
        <v>645</v>
      </c>
      <c r="F183" s="22"/>
      <c r="G183" s="13" t="s">
        <v>646</v>
      </c>
      <c r="H183" s="13" t="s">
        <v>647</v>
      </c>
    </row>
    <row r="184">
      <c r="A184" s="15" t="s">
        <v>532</v>
      </c>
      <c r="B184" s="16"/>
      <c r="C184" s="16"/>
      <c r="D184" s="16"/>
      <c r="E184" s="15" t="s">
        <v>649</v>
      </c>
      <c r="F184" s="16"/>
      <c r="G184" s="16"/>
      <c r="H184" s="16"/>
    </row>
    <row r="185">
      <c r="A185" s="15" t="s">
        <v>575</v>
      </c>
      <c r="B185" s="16"/>
      <c r="C185" s="16"/>
      <c r="D185" s="16"/>
      <c r="E185" s="15" t="s">
        <v>650</v>
      </c>
      <c r="F185" s="16"/>
      <c r="G185" s="16"/>
      <c r="H185" s="16"/>
    </row>
    <row r="186">
      <c r="A186" s="21" t="s">
        <v>651</v>
      </c>
      <c r="B186" s="13" t="s">
        <v>651</v>
      </c>
      <c r="C186" s="22"/>
      <c r="D186" s="22"/>
      <c r="E186" s="21" t="s">
        <v>652</v>
      </c>
      <c r="F186" s="22"/>
      <c r="G186" s="13" t="s">
        <v>653</v>
      </c>
      <c r="H186" s="13" t="s">
        <v>654</v>
      </c>
    </row>
    <row r="187">
      <c r="A187" s="71" t="s">
        <v>655</v>
      </c>
      <c r="B187" s="72"/>
      <c r="C187" s="72"/>
      <c r="D187" s="72"/>
      <c r="E187" s="71" t="s">
        <v>656</v>
      </c>
      <c r="F187" s="72"/>
      <c r="G187" s="72"/>
      <c r="H187" s="72"/>
    </row>
    <row r="188">
      <c r="A188" s="21" t="s">
        <v>658</v>
      </c>
      <c r="B188" s="22"/>
      <c r="C188" s="22"/>
      <c r="D188" s="22"/>
      <c r="E188" s="21" t="s">
        <v>660</v>
      </c>
      <c r="F188" s="22"/>
      <c r="G188" s="22"/>
      <c r="H188" s="22"/>
    </row>
    <row r="189">
      <c r="A189" s="15" t="s">
        <v>662</v>
      </c>
      <c r="B189" s="16"/>
      <c r="C189" s="16"/>
      <c r="D189" s="16"/>
      <c r="E189" s="15" t="s">
        <v>663</v>
      </c>
      <c r="F189" s="16"/>
      <c r="G189" s="16"/>
      <c r="H189" s="16"/>
    </row>
    <row r="190">
      <c r="A190" s="15" t="s">
        <v>665</v>
      </c>
      <c r="B190" s="16"/>
      <c r="C190" s="16"/>
      <c r="D190" s="16"/>
      <c r="E190" s="15" t="s">
        <v>666</v>
      </c>
      <c r="F190" s="16"/>
      <c r="G190" s="16"/>
      <c r="H190" s="16"/>
    </row>
    <row r="191">
      <c r="A191" s="21" t="s">
        <v>667</v>
      </c>
      <c r="B191" s="22"/>
      <c r="C191" s="22"/>
      <c r="D191" s="22"/>
      <c r="E191" s="21" t="s">
        <v>668</v>
      </c>
      <c r="F191" s="22"/>
      <c r="G191" s="22"/>
      <c r="H191" s="22"/>
    </row>
    <row r="192">
      <c r="A192" s="73" t="s">
        <v>670</v>
      </c>
      <c r="B192" s="33"/>
      <c r="C192" s="33"/>
      <c r="D192" s="33"/>
      <c r="E192" s="30" t="s">
        <v>671</v>
      </c>
      <c r="F192" s="33"/>
      <c r="G192" s="33"/>
      <c r="H192" s="33"/>
    </row>
    <row r="193">
      <c r="A193" s="15" t="s">
        <v>672</v>
      </c>
      <c r="B193" s="16"/>
      <c r="C193" s="16"/>
      <c r="D193" s="16"/>
      <c r="E193" s="15" t="s">
        <v>674</v>
      </c>
      <c r="F193" s="16"/>
      <c r="G193" s="16"/>
      <c r="H193" s="16"/>
    </row>
    <row r="194">
      <c r="A194" s="15" t="s">
        <v>491</v>
      </c>
      <c r="B194" s="16"/>
      <c r="C194" s="16"/>
      <c r="D194" s="16"/>
      <c r="E194" s="15" t="s">
        <v>675</v>
      </c>
      <c r="F194" s="16"/>
      <c r="G194" s="16"/>
      <c r="H194" s="16"/>
    </row>
    <row r="195">
      <c r="A195" s="15" t="s">
        <v>676</v>
      </c>
      <c r="B195" s="16"/>
      <c r="C195" s="16"/>
      <c r="D195" s="16"/>
      <c r="E195" s="15" t="s">
        <v>677</v>
      </c>
      <c r="F195" s="16"/>
      <c r="G195" s="16"/>
      <c r="H195" s="16"/>
    </row>
    <row r="196">
      <c r="A196" s="15" t="s">
        <v>678</v>
      </c>
      <c r="B196" s="16"/>
      <c r="C196" s="16"/>
      <c r="D196" s="16"/>
      <c r="E196" s="15" t="s">
        <v>679</v>
      </c>
      <c r="F196" s="16"/>
      <c r="G196" s="16"/>
      <c r="H196" s="16"/>
    </row>
    <row r="197">
      <c r="A197" s="15" t="s">
        <v>680</v>
      </c>
      <c r="B197" s="16"/>
      <c r="C197" s="16"/>
      <c r="D197" s="16"/>
      <c r="E197" s="15" t="s">
        <v>681</v>
      </c>
      <c r="F197" s="16"/>
      <c r="G197" s="16"/>
      <c r="H197" s="16"/>
    </row>
    <row r="198">
      <c r="A198" s="15" t="s">
        <v>682</v>
      </c>
      <c r="B198" s="16"/>
      <c r="C198" s="16"/>
      <c r="D198" s="16"/>
      <c r="E198" s="15" t="s">
        <v>683</v>
      </c>
      <c r="F198" s="16"/>
      <c r="G198" s="16"/>
      <c r="H198" s="16"/>
    </row>
    <row r="199">
      <c r="A199" s="15" t="s">
        <v>586</v>
      </c>
      <c r="B199" s="16"/>
      <c r="C199" s="16"/>
      <c r="D199" s="16"/>
      <c r="E199" s="15" t="s">
        <v>684</v>
      </c>
      <c r="F199" s="16"/>
      <c r="G199" s="16"/>
      <c r="H199" s="16"/>
    </row>
    <row r="200">
      <c r="A200" s="15" t="s">
        <v>685</v>
      </c>
      <c r="B200" s="16"/>
      <c r="C200" s="16"/>
      <c r="D200" s="16"/>
      <c r="E200" s="15" t="s">
        <v>686</v>
      </c>
      <c r="F200" s="16"/>
      <c r="G200" s="16"/>
      <c r="H200" s="16"/>
    </row>
    <row r="201">
      <c r="A201" s="21" t="s">
        <v>687</v>
      </c>
      <c r="B201" s="22"/>
      <c r="C201" s="22"/>
      <c r="D201" s="22"/>
      <c r="E201" s="21" t="s">
        <v>688</v>
      </c>
      <c r="F201" s="22"/>
      <c r="G201" s="22"/>
      <c r="H201" s="22"/>
    </row>
    <row r="202">
      <c r="A202" s="15" t="s">
        <v>689</v>
      </c>
      <c r="B202" s="16"/>
      <c r="C202" s="16"/>
      <c r="D202" s="16"/>
      <c r="E202" s="15" t="s">
        <v>690</v>
      </c>
      <c r="F202" s="16"/>
      <c r="G202" s="16"/>
      <c r="H202" s="16"/>
    </row>
    <row r="203">
      <c r="A203" s="21" t="s">
        <v>691</v>
      </c>
      <c r="B203" s="22"/>
      <c r="C203" s="22"/>
      <c r="D203" s="22"/>
      <c r="E203" s="21" t="s">
        <v>692</v>
      </c>
      <c r="F203" s="22"/>
      <c r="G203" s="22"/>
      <c r="H203" s="22"/>
    </row>
    <row r="204">
      <c r="A204" s="21" t="s">
        <v>693</v>
      </c>
      <c r="B204" s="22"/>
      <c r="C204" s="22"/>
      <c r="D204" s="22"/>
      <c r="E204" s="21" t="s">
        <v>694</v>
      </c>
      <c r="F204" s="22"/>
      <c r="G204" s="22"/>
      <c r="H204" s="22"/>
    </row>
    <row r="205">
      <c r="A205" s="21" t="s">
        <v>695</v>
      </c>
      <c r="B205" s="13" t="s">
        <v>695</v>
      </c>
      <c r="C205" s="22"/>
      <c r="D205" s="22"/>
      <c r="E205" s="21" t="s">
        <v>698</v>
      </c>
      <c r="F205" s="22"/>
      <c r="G205" s="22"/>
      <c r="H205" s="22"/>
    </row>
    <row r="206">
      <c r="A206" s="15" t="s">
        <v>596</v>
      </c>
      <c r="B206" s="16"/>
      <c r="C206" s="16"/>
      <c r="D206" s="16"/>
      <c r="E206" s="15" t="s">
        <v>700</v>
      </c>
      <c r="F206" s="16"/>
      <c r="G206" s="16"/>
      <c r="H206" s="16"/>
    </row>
    <row r="207">
      <c r="A207" s="15" t="s">
        <v>701</v>
      </c>
      <c r="B207" s="16"/>
      <c r="C207" s="16"/>
      <c r="D207" s="16"/>
      <c r="E207" s="15" t="s">
        <v>702</v>
      </c>
      <c r="F207" s="16"/>
      <c r="G207" s="16"/>
      <c r="H207" s="16"/>
    </row>
    <row r="208">
      <c r="A208" s="21" t="s">
        <v>703</v>
      </c>
      <c r="B208" s="13" t="s">
        <v>703</v>
      </c>
      <c r="C208" s="22"/>
      <c r="D208" s="22"/>
      <c r="E208" s="21" t="s">
        <v>704</v>
      </c>
      <c r="F208" s="22"/>
      <c r="G208" s="13" t="s">
        <v>705</v>
      </c>
      <c r="H208" s="13" t="s">
        <v>706</v>
      </c>
    </row>
    <row r="209">
      <c r="A209" s="15" t="s">
        <v>707</v>
      </c>
      <c r="B209" s="16"/>
      <c r="C209" s="16"/>
      <c r="D209" s="16"/>
      <c r="E209" s="15" t="s">
        <v>710</v>
      </c>
      <c r="F209" s="16"/>
      <c r="G209" s="16"/>
      <c r="H209" s="16"/>
    </row>
    <row r="210">
      <c r="A210" s="15" t="s">
        <v>712</v>
      </c>
      <c r="B210" s="16"/>
      <c r="C210" s="16"/>
      <c r="D210" s="16"/>
      <c r="E210" s="15" t="s">
        <v>713</v>
      </c>
      <c r="F210" s="16"/>
      <c r="G210" s="16"/>
      <c r="H210" s="16"/>
    </row>
    <row r="211">
      <c r="A211" s="15" t="s">
        <v>715</v>
      </c>
      <c r="B211" s="16"/>
      <c r="C211" s="16"/>
      <c r="D211" s="16"/>
      <c r="E211" s="15" t="s">
        <v>716</v>
      </c>
      <c r="F211" s="16"/>
      <c r="G211" s="16"/>
      <c r="H211" s="16"/>
    </row>
    <row r="212">
      <c r="A212" s="15" t="s">
        <v>717</v>
      </c>
      <c r="B212" s="16"/>
      <c r="C212" s="16"/>
      <c r="D212" s="16"/>
      <c r="E212" s="15" t="s">
        <v>718</v>
      </c>
      <c r="F212" s="16"/>
      <c r="G212" s="16"/>
      <c r="H212" s="16"/>
    </row>
    <row r="213">
      <c r="A213" s="15" t="s">
        <v>600</v>
      </c>
      <c r="B213" s="16"/>
      <c r="C213" s="16"/>
      <c r="D213" s="16"/>
      <c r="E213" s="15" t="s">
        <v>719</v>
      </c>
      <c r="F213" s="16"/>
      <c r="G213" s="16"/>
      <c r="H213" s="16"/>
    </row>
    <row r="214">
      <c r="A214" s="15" t="s">
        <v>721</v>
      </c>
      <c r="B214" s="16"/>
      <c r="C214" s="16"/>
      <c r="D214" s="16"/>
      <c r="E214" s="15" t="s">
        <v>722</v>
      </c>
      <c r="F214" s="16"/>
      <c r="G214" s="16"/>
      <c r="H214" s="16"/>
    </row>
    <row r="215">
      <c r="A215" s="15" t="s">
        <v>723</v>
      </c>
      <c r="B215" s="16"/>
      <c r="C215" s="16"/>
      <c r="D215" s="16"/>
      <c r="E215" s="15" t="s">
        <v>724</v>
      </c>
      <c r="F215" s="16"/>
      <c r="G215" s="16"/>
      <c r="H215" s="16"/>
    </row>
    <row r="216">
      <c r="A216" s="15" t="s">
        <v>727</v>
      </c>
      <c r="B216" s="16"/>
      <c r="C216" s="16"/>
      <c r="D216" s="16"/>
      <c r="E216" s="15" t="s">
        <v>728</v>
      </c>
      <c r="F216" s="16"/>
      <c r="G216" s="16"/>
      <c r="H216" s="16"/>
    </row>
    <row r="217">
      <c r="A217" s="74"/>
      <c r="B217" s="74"/>
    </row>
    <row r="218">
      <c r="A218" s="74"/>
      <c r="B218" s="74"/>
    </row>
    <row r="219">
      <c r="A219" s="74"/>
      <c r="B219" s="74"/>
    </row>
    <row r="220">
      <c r="A220" s="74"/>
      <c r="B220" s="74"/>
    </row>
    <row r="221">
      <c r="A221" s="74"/>
      <c r="B221" s="74"/>
    </row>
    <row r="222">
      <c r="A222" s="74"/>
      <c r="B222" s="74"/>
    </row>
    <row r="223">
      <c r="A223" s="74"/>
      <c r="B223" s="74"/>
    </row>
    <row r="224">
      <c r="A224" s="74"/>
      <c r="B224" s="74"/>
    </row>
    <row r="225">
      <c r="A225" s="74"/>
      <c r="B225" s="74"/>
    </row>
    <row r="226">
      <c r="A226" s="74"/>
      <c r="B226" s="74"/>
    </row>
    <row r="227">
      <c r="A227" s="74"/>
      <c r="B227" s="74"/>
    </row>
    <row r="228">
      <c r="A228" s="74"/>
      <c r="B228" s="74"/>
    </row>
    <row r="229">
      <c r="A229" s="74"/>
      <c r="B229" s="74"/>
    </row>
    <row r="230">
      <c r="A230" s="74"/>
      <c r="B230" s="74"/>
    </row>
    <row r="231">
      <c r="A231" s="74"/>
      <c r="B231" s="74"/>
    </row>
    <row r="232">
      <c r="A232" s="74"/>
      <c r="B232" s="74"/>
    </row>
    <row r="233">
      <c r="A233" s="74"/>
      <c r="B233" s="74"/>
    </row>
    <row r="234">
      <c r="A234" s="74"/>
      <c r="B234" s="74"/>
    </row>
    <row r="235">
      <c r="A235" s="74"/>
      <c r="B235" s="74"/>
    </row>
    <row r="236">
      <c r="A236" s="74"/>
      <c r="B236" s="74"/>
    </row>
    <row r="237">
      <c r="A237" s="74"/>
      <c r="B237" s="74"/>
    </row>
    <row r="238">
      <c r="A238" s="74"/>
      <c r="B238" s="74"/>
    </row>
    <row r="239">
      <c r="A239" s="74"/>
      <c r="B239" s="74"/>
    </row>
    <row r="240">
      <c r="A240" s="74"/>
      <c r="B240" s="74"/>
    </row>
    <row r="241">
      <c r="A241" s="74"/>
      <c r="B241" s="74"/>
    </row>
    <row r="242">
      <c r="A242" s="74"/>
      <c r="B242" s="74"/>
    </row>
    <row r="243">
      <c r="A243" s="74"/>
      <c r="B243" s="74"/>
    </row>
    <row r="244">
      <c r="A244" s="74"/>
      <c r="B244" s="74"/>
    </row>
    <row r="245">
      <c r="A245" s="74"/>
      <c r="B245" s="74"/>
    </row>
    <row r="246">
      <c r="A246" s="74"/>
      <c r="B246" s="74"/>
    </row>
    <row r="247">
      <c r="A247" s="74"/>
      <c r="B247" s="74"/>
    </row>
    <row r="248">
      <c r="A248" s="74"/>
      <c r="B248" s="74"/>
    </row>
    <row r="249">
      <c r="A249" s="74"/>
      <c r="B249" s="74"/>
    </row>
    <row r="250">
      <c r="A250" s="74"/>
      <c r="B250" s="74"/>
    </row>
    <row r="251">
      <c r="A251" s="74"/>
      <c r="B251" s="74"/>
    </row>
    <row r="252">
      <c r="A252" s="74"/>
      <c r="B252" s="74"/>
    </row>
    <row r="253">
      <c r="A253" s="74"/>
      <c r="B253" s="74"/>
    </row>
    <row r="254">
      <c r="A254" s="74"/>
      <c r="B254" s="74"/>
    </row>
    <row r="255">
      <c r="A255" s="74"/>
      <c r="B255" s="74"/>
    </row>
    <row r="256">
      <c r="A256" s="74"/>
      <c r="B256" s="74"/>
    </row>
    <row r="257">
      <c r="A257" s="74"/>
      <c r="B257" s="74"/>
    </row>
    <row r="258">
      <c r="A258" s="74"/>
      <c r="B258" s="74"/>
    </row>
    <row r="259">
      <c r="A259" s="74"/>
      <c r="B259" s="74"/>
    </row>
    <row r="260">
      <c r="A260" s="74"/>
      <c r="B260" s="74"/>
    </row>
    <row r="261">
      <c r="A261" s="74"/>
      <c r="B261" s="74"/>
    </row>
    <row r="262">
      <c r="A262" s="74"/>
      <c r="B262" s="74"/>
    </row>
    <row r="263">
      <c r="A263" s="74"/>
      <c r="B263" s="74"/>
    </row>
    <row r="264">
      <c r="A264" s="74"/>
      <c r="B264" s="74"/>
    </row>
    <row r="265">
      <c r="A265" s="74"/>
      <c r="B265" s="74"/>
    </row>
    <row r="266">
      <c r="A266" s="74"/>
      <c r="B266" s="74"/>
    </row>
    <row r="267">
      <c r="A267" s="74"/>
      <c r="B267" s="74"/>
    </row>
    <row r="268">
      <c r="A268" s="74"/>
      <c r="B268" s="74"/>
    </row>
    <row r="269">
      <c r="A269" s="74"/>
      <c r="B269" s="74"/>
    </row>
    <row r="270">
      <c r="A270" s="74"/>
      <c r="B270" s="74"/>
    </row>
    <row r="271">
      <c r="A271" s="74"/>
      <c r="B271" s="74"/>
    </row>
    <row r="272">
      <c r="A272" s="74"/>
      <c r="B272" s="74"/>
    </row>
    <row r="273">
      <c r="A273" s="74"/>
      <c r="B273" s="74"/>
    </row>
    <row r="274">
      <c r="A274" s="74"/>
      <c r="B274" s="74"/>
    </row>
    <row r="275">
      <c r="A275" s="74"/>
      <c r="B275" s="74"/>
    </row>
    <row r="276">
      <c r="A276" s="74"/>
      <c r="B276" s="74"/>
    </row>
    <row r="277">
      <c r="A277" s="74"/>
      <c r="B277" s="74"/>
    </row>
    <row r="278">
      <c r="A278" s="74"/>
      <c r="B278" s="74"/>
    </row>
    <row r="279">
      <c r="A279" s="74"/>
      <c r="B279" s="74"/>
    </row>
    <row r="280">
      <c r="A280" s="74"/>
      <c r="B280" s="74"/>
    </row>
    <row r="281">
      <c r="A281" s="74"/>
      <c r="B281" s="74"/>
    </row>
    <row r="282">
      <c r="A282" s="74"/>
      <c r="B282" s="74"/>
    </row>
    <row r="283">
      <c r="A283" s="74"/>
      <c r="B283" s="74"/>
    </row>
    <row r="284">
      <c r="A284" s="74"/>
      <c r="B284" s="74"/>
    </row>
    <row r="285">
      <c r="A285" s="74"/>
      <c r="B285" s="74"/>
    </row>
    <row r="286">
      <c r="A286" s="74"/>
      <c r="B286" s="74"/>
    </row>
    <row r="287">
      <c r="A287" s="74"/>
      <c r="B287" s="74"/>
    </row>
    <row r="288">
      <c r="A288" s="74"/>
      <c r="B288" s="74"/>
    </row>
    <row r="289">
      <c r="A289" s="74"/>
      <c r="B289" s="74"/>
    </row>
    <row r="290">
      <c r="A290" s="74"/>
      <c r="B290" s="74"/>
    </row>
    <row r="291">
      <c r="A291" s="74"/>
      <c r="B291" s="74"/>
    </row>
    <row r="292">
      <c r="A292" s="74"/>
      <c r="B292" s="74"/>
    </row>
    <row r="293">
      <c r="A293" s="74"/>
      <c r="B293" s="74"/>
    </row>
    <row r="294">
      <c r="A294" s="74"/>
      <c r="B294" s="74"/>
    </row>
    <row r="295">
      <c r="A295" s="74"/>
      <c r="B295" s="74"/>
    </row>
    <row r="296">
      <c r="A296" s="74"/>
      <c r="B296" s="74"/>
    </row>
    <row r="297">
      <c r="A297" s="74"/>
      <c r="B297" s="74"/>
    </row>
    <row r="298">
      <c r="A298" s="74"/>
      <c r="B298" s="74"/>
    </row>
    <row r="299">
      <c r="A299" s="74"/>
      <c r="B299" s="74"/>
    </row>
    <row r="300">
      <c r="A300" s="74"/>
      <c r="B300" s="74"/>
    </row>
    <row r="301">
      <c r="A301" s="74"/>
      <c r="B301" s="74"/>
    </row>
    <row r="302">
      <c r="A302" s="74"/>
      <c r="B302" s="74"/>
    </row>
    <row r="303">
      <c r="A303" s="74"/>
      <c r="B303" s="74"/>
    </row>
    <row r="304">
      <c r="A304" s="74"/>
      <c r="B304" s="74"/>
    </row>
    <row r="305">
      <c r="A305" s="74"/>
      <c r="B305" s="74"/>
    </row>
    <row r="306">
      <c r="A306" s="74"/>
      <c r="B306" s="74"/>
    </row>
    <row r="307">
      <c r="A307" s="74"/>
      <c r="B307" s="74"/>
    </row>
    <row r="308">
      <c r="A308" s="74"/>
      <c r="B308" s="74"/>
    </row>
    <row r="309">
      <c r="A309" s="74"/>
      <c r="B309" s="74"/>
    </row>
    <row r="310">
      <c r="A310" s="74"/>
      <c r="B310" s="74"/>
    </row>
    <row r="311">
      <c r="A311" s="74"/>
      <c r="B311" s="74"/>
    </row>
    <row r="312">
      <c r="A312" s="74"/>
      <c r="B312" s="74"/>
    </row>
    <row r="313">
      <c r="A313" s="74"/>
      <c r="B313" s="74"/>
    </row>
    <row r="314">
      <c r="A314" s="74"/>
      <c r="B314" s="74"/>
    </row>
    <row r="315">
      <c r="A315" s="74"/>
      <c r="B315" s="74"/>
    </row>
    <row r="316">
      <c r="A316" s="74"/>
      <c r="B316" s="74"/>
    </row>
    <row r="317">
      <c r="A317" s="74"/>
      <c r="B317" s="74"/>
    </row>
    <row r="318">
      <c r="A318" s="74"/>
      <c r="B318" s="74"/>
    </row>
    <row r="319">
      <c r="A319" s="74"/>
      <c r="B319" s="74"/>
    </row>
    <row r="320">
      <c r="A320" s="74"/>
      <c r="B320" s="74"/>
    </row>
    <row r="321">
      <c r="A321" s="74"/>
      <c r="B321" s="74"/>
    </row>
    <row r="322">
      <c r="A322" s="74"/>
      <c r="B322" s="74"/>
    </row>
    <row r="323">
      <c r="A323" s="74"/>
      <c r="B323" s="74"/>
    </row>
    <row r="324">
      <c r="A324" s="74"/>
      <c r="B324" s="74"/>
    </row>
    <row r="325">
      <c r="A325" s="74"/>
      <c r="B325" s="74"/>
    </row>
    <row r="326">
      <c r="A326" s="74"/>
      <c r="B326" s="74"/>
    </row>
    <row r="327">
      <c r="A327" s="74"/>
      <c r="B327" s="74"/>
    </row>
    <row r="328">
      <c r="A328" s="74"/>
      <c r="B328" s="74"/>
    </row>
    <row r="329">
      <c r="A329" s="74"/>
      <c r="B329" s="74"/>
    </row>
    <row r="330">
      <c r="A330" s="74"/>
      <c r="B330" s="74"/>
    </row>
    <row r="331">
      <c r="A331" s="74"/>
      <c r="B331" s="74"/>
    </row>
    <row r="332">
      <c r="A332" s="74"/>
      <c r="B332" s="74"/>
    </row>
    <row r="333">
      <c r="A333" s="74"/>
      <c r="B333" s="74"/>
    </row>
    <row r="334">
      <c r="A334" s="74"/>
      <c r="B334" s="74"/>
    </row>
    <row r="335">
      <c r="A335" s="74"/>
      <c r="B335" s="74"/>
    </row>
    <row r="336">
      <c r="A336" s="74"/>
      <c r="B336" s="74"/>
    </row>
    <row r="337">
      <c r="A337" s="74"/>
      <c r="B337" s="74"/>
    </row>
    <row r="338">
      <c r="A338" s="74"/>
      <c r="B338" s="74"/>
    </row>
    <row r="339">
      <c r="A339" s="74"/>
      <c r="B339" s="74"/>
    </row>
    <row r="340">
      <c r="A340" s="74"/>
      <c r="B340" s="74"/>
    </row>
    <row r="341">
      <c r="A341" s="74"/>
      <c r="B341" s="74"/>
    </row>
    <row r="342">
      <c r="A342" s="74"/>
      <c r="B342" s="74"/>
    </row>
    <row r="343">
      <c r="A343" s="74"/>
      <c r="B343" s="74"/>
    </row>
    <row r="344">
      <c r="A344" s="74"/>
      <c r="B344" s="74"/>
    </row>
    <row r="345">
      <c r="A345" s="74"/>
      <c r="B345" s="74"/>
    </row>
    <row r="346">
      <c r="A346" s="74"/>
      <c r="B346" s="74"/>
    </row>
    <row r="347">
      <c r="A347" s="74"/>
      <c r="B347" s="74"/>
    </row>
    <row r="348">
      <c r="A348" s="74"/>
      <c r="B348" s="74"/>
    </row>
    <row r="349">
      <c r="A349" s="74"/>
      <c r="B349" s="74"/>
    </row>
    <row r="350">
      <c r="A350" s="74"/>
      <c r="B350" s="74"/>
    </row>
    <row r="351">
      <c r="A351" s="74"/>
      <c r="B351" s="74"/>
    </row>
    <row r="352">
      <c r="A352" s="74"/>
      <c r="B352" s="74"/>
    </row>
    <row r="353">
      <c r="A353" s="74"/>
      <c r="B353" s="74"/>
    </row>
    <row r="354">
      <c r="A354" s="74"/>
      <c r="B354" s="74"/>
    </row>
    <row r="355">
      <c r="A355" s="74"/>
      <c r="B355" s="74"/>
    </row>
    <row r="356">
      <c r="A356" s="74"/>
      <c r="B356" s="74"/>
    </row>
    <row r="357">
      <c r="A357" s="74"/>
      <c r="B357" s="74"/>
    </row>
    <row r="358">
      <c r="A358" s="74"/>
      <c r="B358" s="74"/>
    </row>
    <row r="359">
      <c r="A359" s="74"/>
      <c r="B359" s="74"/>
    </row>
    <row r="360">
      <c r="A360" s="74"/>
      <c r="B360" s="74"/>
    </row>
    <row r="361">
      <c r="A361" s="74"/>
      <c r="B361" s="74"/>
    </row>
    <row r="362">
      <c r="A362" s="74"/>
      <c r="B362" s="74"/>
    </row>
    <row r="363">
      <c r="A363" s="74"/>
      <c r="B363" s="74"/>
    </row>
    <row r="364">
      <c r="A364" s="74"/>
      <c r="B364" s="74"/>
    </row>
    <row r="365">
      <c r="A365" s="74"/>
      <c r="B365" s="74"/>
    </row>
    <row r="366">
      <c r="A366" s="74"/>
      <c r="B366" s="74"/>
    </row>
    <row r="367">
      <c r="A367" s="74"/>
      <c r="B367" s="74"/>
    </row>
    <row r="368">
      <c r="A368" s="74"/>
      <c r="B368" s="74"/>
    </row>
    <row r="369">
      <c r="A369" s="74"/>
      <c r="B369" s="74"/>
    </row>
    <row r="370">
      <c r="A370" s="74"/>
      <c r="B370" s="74"/>
    </row>
    <row r="371">
      <c r="A371" s="74"/>
      <c r="B371" s="74"/>
    </row>
    <row r="372">
      <c r="A372" s="74"/>
      <c r="B372" s="74"/>
    </row>
    <row r="373">
      <c r="A373" s="74"/>
      <c r="B373" s="74"/>
    </row>
    <row r="374">
      <c r="A374" s="74"/>
      <c r="B374" s="74"/>
    </row>
    <row r="375">
      <c r="A375" s="74"/>
      <c r="B375" s="74"/>
    </row>
    <row r="376">
      <c r="A376" s="74"/>
      <c r="B376" s="74"/>
    </row>
    <row r="377">
      <c r="A377" s="74"/>
      <c r="B377" s="74"/>
    </row>
    <row r="378">
      <c r="A378" s="74"/>
      <c r="B378" s="74"/>
    </row>
    <row r="379">
      <c r="A379" s="74"/>
      <c r="B379" s="74"/>
    </row>
    <row r="380">
      <c r="A380" s="74"/>
      <c r="B380" s="74"/>
    </row>
    <row r="381">
      <c r="A381" s="74"/>
      <c r="B381" s="74"/>
    </row>
    <row r="382">
      <c r="A382" s="74"/>
      <c r="B382" s="74"/>
    </row>
    <row r="383">
      <c r="A383" s="74"/>
      <c r="B383" s="74"/>
    </row>
    <row r="384">
      <c r="A384" s="74"/>
      <c r="B384" s="74"/>
    </row>
    <row r="385">
      <c r="A385" s="74"/>
      <c r="B385" s="74"/>
    </row>
    <row r="386">
      <c r="A386" s="74"/>
      <c r="B386" s="74"/>
    </row>
    <row r="387">
      <c r="A387" s="74"/>
      <c r="B387" s="74"/>
    </row>
    <row r="388">
      <c r="A388" s="74"/>
      <c r="B388" s="74"/>
    </row>
    <row r="389">
      <c r="A389" s="74"/>
      <c r="B389" s="74"/>
    </row>
    <row r="390">
      <c r="A390" s="74"/>
      <c r="B390" s="74"/>
    </row>
    <row r="391">
      <c r="A391" s="74"/>
      <c r="B391" s="74"/>
    </row>
    <row r="392">
      <c r="A392" s="74"/>
      <c r="B392" s="74"/>
    </row>
    <row r="393">
      <c r="A393" s="74"/>
      <c r="B393" s="74"/>
    </row>
    <row r="394">
      <c r="A394" s="74"/>
      <c r="B394" s="74"/>
    </row>
    <row r="395">
      <c r="A395" s="74"/>
      <c r="B395" s="74"/>
    </row>
    <row r="396">
      <c r="A396" s="74"/>
      <c r="B396" s="74"/>
    </row>
    <row r="397">
      <c r="A397" s="74"/>
      <c r="B397" s="74"/>
    </row>
    <row r="398">
      <c r="A398" s="74"/>
      <c r="B398" s="74"/>
    </row>
    <row r="399">
      <c r="A399" s="74"/>
      <c r="B399" s="74"/>
    </row>
    <row r="400">
      <c r="A400" s="74"/>
      <c r="B400" s="74"/>
    </row>
    <row r="401">
      <c r="A401" s="74"/>
      <c r="B401" s="74"/>
    </row>
    <row r="402">
      <c r="A402" s="74"/>
      <c r="B402" s="74"/>
    </row>
    <row r="403">
      <c r="A403" s="74"/>
      <c r="B403" s="74"/>
    </row>
    <row r="404">
      <c r="A404" s="74"/>
      <c r="B404" s="74"/>
    </row>
    <row r="405">
      <c r="A405" s="74"/>
      <c r="B405" s="74"/>
    </row>
    <row r="406">
      <c r="A406" s="74"/>
      <c r="B406" s="74"/>
    </row>
    <row r="407">
      <c r="A407" s="74"/>
      <c r="B407" s="74"/>
    </row>
    <row r="408">
      <c r="A408" s="74"/>
      <c r="B408" s="74"/>
    </row>
    <row r="409">
      <c r="A409" s="74"/>
      <c r="B409" s="74"/>
    </row>
    <row r="410">
      <c r="A410" s="74"/>
      <c r="B410" s="74"/>
    </row>
    <row r="411">
      <c r="A411" s="74"/>
      <c r="B411" s="74"/>
    </row>
    <row r="412">
      <c r="A412" s="74"/>
      <c r="B412" s="74"/>
    </row>
    <row r="413">
      <c r="A413" s="74"/>
      <c r="B413" s="74"/>
    </row>
    <row r="414">
      <c r="A414" s="74"/>
      <c r="B414" s="74"/>
    </row>
    <row r="415">
      <c r="A415" s="74"/>
      <c r="B415" s="74"/>
    </row>
    <row r="416">
      <c r="A416" s="74"/>
      <c r="B416" s="74"/>
    </row>
    <row r="417">
      <c r="A417" s="74"/>
      <c r="B417" s="74"/>
    </row>
    <row r="418">
      <c r="A418" s="74"/>
      <c r="B418" s="74"/>
    </row>
    <row r="419">
      <c r="A419" s="74"/>
      <c r="B419" s="74"/>
    </row>
    <row r="420">
      <c r="A420" s="74"/>
      <c r="B420" s="74"/>
    </row>
    <row r="421">
      <c r="A421" s="74"/>
      <c r="B421" s="74"/>
    </row>
    <row r="422">
      <c r="A422" s="74"/>
      <c r="B422" s="74"/>
    </row>
    <row r="423">
      <c r="A423" s="74"/>
      <c r="B423" s="74"/>
    </row>
    <row r="424">
      <c r="A424" s="74"/>
      <c r="B424" s="74"/>
    </row>
    <row r="425">
      <c r="A425" s="74"/>
      <c r="B425" s="74"/>
    </row>
    <row r="426">
      <c r="A426" s="74"/>
      <c r="B426" s="74"/>
    </row>
    <row r="427">
      <c r="A427" s="74"/>
      <c r="B427" s="74"/>
    </row>
    <row r="428">
      <c r="A428" s="74"/>
      <c r="B428" s="74"/>
    </row>
    <row r="429">
      <c r="A429" s="74"/>
      <c r="B429" s="74"/>
    </row>
    <row r="430">
      <c r="A430" s="74"/>
      <c r="B430" s="74"/>
    </row>
    <row r="431">
      <c r="A431" s="74"/>
      <c r="B431" s="74"/>
    </row>
    <row r="432">
      <c r="A432" s="74"/>
      <c r="B432" s="74"/>
    </row>
    <row r="433">
      <c r="A433" s="74"/>
      <c r="B433" s="74"/>
    </row>
    <row r="434">
      <c r="A434" s="74"/>
      <c r="B434" s="74"/>
    </row>
    <row r="435">
      <c r="A435" s="74"/>
      <c r="B435" s="74"/>
    </row>
    <row r="436">
      <c r="A436" s="74"/>
      <c r="B436" s="74"/>
    </row>
    <row r="437">
      <c r="A437" s="74"/>
      <c r="B437" s="74"/>
    </row>
    <row r="438">
      <c r="A438" s="74"/>
      <c r="B438" s="74"/>
    </row>
    <row r="439">
      <c r="A439" s="74"/>
      <c r="B439" s="74"/>
    </row>
    <row r="440">
      <c r="A440" s="74"/>
      <c r="B440" s="74"/>
    </row>
    <row r="441">
      <c r="A441" s="74"/>
      <c r="B441" s="74"/>
    </row>
    <row r="442">
      <c r="A442" s="74"/>
      <c r="B442" s="74"/>
    </row>
    <row r="443">
      <c r="A443" s="74"/>
      <c r="B443" s="74"/>
    </row>
    <row r="444">
      <c r="A444" s="74"/>
      <c r="B444" s="74"/>
    </row>
    <row r="445">
      <c r="A445" s="74"/>
      <c r="B445" s="74"/>
    </row>
    <row r="446">
      <c r="A446" s="74"/>
      <c r="B446" s="74"/>
    </row>
    <row r="447">
      <c r="A447" s="74"/>
      <c r="B447" s="74"/>
    </row>
    <row r="448">
      <c r="A448" s="74"/>
      <c r="B448" s="74"/>
    </row>
    <row r="449">
      <c r="A449" s="74"/>
      <c r="B449" s="74"/>
    </row>
    <row r="450">
      <c r="A450" s="74"/>
      <c r="B450" s="74"/>
    </row>
    <row r="451">
      <c r="A451" s="74"/>
      <c r="B451" s="74"/>
    </row>
    <row r="452">
      <c r="A452" s="74"/>
      <c r="B452" s="74"/>
    </row>
    <row r="453">
      <c r="A453" s="74"/>
      <c r="B453" s="74"/>
    </row>
    <row r="454">
      <c r="A454" s="74"/>
      <c r="B454" s="74"/>
    </row>
    <row r="455">
      <c r="A455" s="74"/>
      <c r="B455" s="74"/>
    </row>
    <row r="456">
      <c r="A456" s="74"/>
      <c r="B456" s="74"/>
    </row>
    <row r="457">
      <c r="A457" s="74"/>
      <c r="B457" s="74"/>
    </row>
    <row r="458">
      <c r="A458" s="74"/>
      <c r="B458" s="74"/>
    </row>
    <row r="459">
      <c r="A459" s="74"/>
      <c r="B459" s="74"/>
    </row>
    <row r="460">
      <c r="A460" s="74"/>
      <c r="B460" s="74"/>
    </row>
    <row r="461">
      <c r="A461" s="74"/>
      <c r="B461" s="74"/>
    </row>
    <row r="462">
      <c r="A462" s="74"/>
      <c r="B462" s="74"/>
    </row>
    <row r="463">
      <c r="A463" s="74"/>
      <c r="B463" s="74"/>
    </row>
    <row r="464">
      <c r="A464" s="74"/>
      <c r="B464" s="74"/>
    </row>
    <row r="465">
      <c r="A465" s="74"/>
      <c r="B465" s="74"/>
    </row>
    <row r="466">
      <c r="A466" s="74"/>
      <c r="B466" s="74"/>
    </row>
    <row r="467">
      <c r="A467" s="74"/>
      <c r="B467" s="74"/>
    </row>
    <row r="468">
      <c r="A468" s="74"/>
      <c r="B468" s="74"/>
    </row>
    <row r="469">
      <c r="A469" s="74"/>
      <c r="B469" s="74"/>
    </row>
    <row r="470">
      <c r="A470" s="74"/>
      <c r="B470" s="74"/>
    </row>
    <row r="471">
      <c r="A471" s="74"/>
      <c r="B471" s="74"/>
    </row>
    <row r="472">
      <c r="A472" s="74"/>
      <c r="B472" s="74"/>
    </row>
    <row r="473">
      <c r="A473" s="74"/>
      <c r="B473" s="74"/>
    </row>
    <row r="474">
      <c r="A474" s="74"/>
      <c r="B474" s="74"/>
    </row>
    <row r="475">
      <c r="A475" s="74"/>
      <c r="B475" s="74"/>
    </row>
    <row r="476">
      <c r="A476" s="74"/>
      <c r="B476" s="74"/>
    </row>
    <row r="477">
      <c r="A477" s="74"/>
      <c r="B477" s="74"/>
    </row>
    <row r="478">
      <c r="A478" s="74"/>
      <c r="B478" s="74"/>
    </row>
    <row r="479">
      <c r="A479" s="74"/>
      <c r="B479" s="74"/>
    </row>
    <row r="480">
      <c r="A480" s="74"/>
      <c r="B480" s="74"/>
    </row>
    <row r="481">
      <c r="A481" s="74"/>
      <c r="B481" s="74"/>
    </row>
    <row r="482">
      <c r="A482" s="74"/>
      <c r="B482" s="74"/>
    </row>
    <row r="483">
      <c r="A483" s="74"/>
      <c r="B483" s="74"/>
    </row>
    <row r="484">
      <c r="A484" s="74"/>
      <c r="B484" s="74"/>
    </row>
    <row r="485">
      <c r="A485" s="74"/>
      <c r="B485" s="74"/>
    </row>
    <row r="486">
      <c r="A486" s="74"/>
      <c r="B486" s="74"/>
    </row>
    <row r="487">
      <c r="A487" s="74"/>
      <c r="B487" s="74"/>
    </row>
    <row r="488">
      <c r="A488" s="74"/>
      <c r="B488" s="74"/>
    </row>
    <row r="489">
      <c r="A489" s="74"/>
      <c r="B489" s="74"/>
    </row>
    <row r="490">
      <c r="A490" s="74"/>
      <c r="B490" s="74"/>
    </row>
    <row r="491">
      <c r="A491" s="74"/>
      <c r="B491" s="74"/>
    </row>
    <row r="492">
      <c r="A492" s="74"/>
      <c r="B492" s="74"/>
    </row>
    <row r="493">
      <c r="A493" s="74"/>
      <c r="B493" s="74"/>
    </row>
    <row r="494">
      <c r="A494" s="74"/>
      <c r="B494" s="74"/>
    </row>
    <row r="495">
      <c r="A495" s="74"/>
      <c r="B495" s="74"/>
    </row>
    <row r="496">
      <c r="A496" s="74"/>
      <c r="B496" s="74"/>
    </row>
    <row r="497">
      <c r="A497" s="74"/>
      <c r="B497" s="74"/>
    </row>
    <row r="498">
      <c r="A498" s="74"/>
      <c r="B498" s="74"/>
    </row>
    <row r="499">
      <c r="A499" s="74"/>
      <c r="B499" s="74"/>
    </row>
    <row r="500">
      <c r="A500" s="74"/>
      <c r="B500" s="74"/>
    </row>
    <row r="501">
      <c r="A501" s="74"/>
      <c r="B501" s="74"/>
    </row>
    <row r="502">
      <c r="A502" s="74"/>
      <c r="B502" s="74"/>
    </row>
    <row r="503">
      <c r="A503" s="74"/>
      <c r="B503" s="74"/>
    </row>
    <row r="504">
      <c r="A504" s="74"/>
      <c r="B504" s="74"/>
    </row>
    <row r="505">
      <c r="A505" s="74"/>
      <c r="B505" s="74"/>
    </row>
    <row r="506">
      <c r="A506" s="74"/>
      <c r="B506" s="74"/>
    </row>
    <row r="507">
      <c r="A507" s="74"/>
      <c r="B507" s="74"/>
    </row>
    <row r="508">
      <c r="A508" s="74"/>
      <c r="B508" s="74"/>
    </row>
    <row r="509">
      <c r="A509" s="74"/>
      <c r="B509" s="74"/>
    </row>
    <row r="510">
      <c r="A510" s="74"/>
      <c r="B510" s="74"/>
    </row>
    <row r="511">
      <c r="A511" s="74"/>
      <c r="B511" s="74"/>
    </row>
    <row r="512">
      <c r="A512" s="74"/>
      <c r="B512" s="74"/>
    </row>
    <row r="513">
      <c r="A513" s="74"/>
      <c r="B513" s="74"/>
    </row>
    <row r="514">
      <c r="A514" s="74"/>
      <c r="B514" s="74"/>
    </row>
    <row r="515">
      <c r="A515" s="74"/>
      <c r="B515" s="74"/>
    </row>
    <row r="516">
      <c r="A516" s="74"/>
      <c r="B516" s="74"/>
    </row>
    <row r="517">
      <c r="A517" s="74"/>
      <c r="B517" s="74"/>
    </row>
    <row r="518">
      <c r="A518" s="74"/>
      <c r="B518" s="74"/>
    </row>
    <row r="519">
      <c r="A519" s="74"/>
      <c r="B519" s="74"/>
    </row>
    <row r="520">
      <c r="A520" s="74"/>
      <c r="B520" s="74"/>
    </row>
    <row r="521">
      <c r="A521" s="74"/>
      <c r="B521" s="74"/>
    </row>
    <row r="522">
      <c r="A522" s="74"/>
      <c r="B522" s="74"/>
    </row>
    <row r="523">
      <c r="A523" s="74"/>
      <c r="B523" s="74"/>
    </row>
    <row r="524">
      <c r="A524" s="74"/>
      <c r="B524" s="74"/>
    </row>
    <row r="525">
      <c r="A525" s="74"/>
      <c r="B525" s="74"/>
    </row>
    <row r="526">
      <c r="A526" s="74"/>
      <c r="B526" s="74"/>
    </row>
    <row r="527">
      <c r="A527" s="74"/>
      <c r="B527" s="74"/>
    </row>
    <row r="528">
      <c r="A528" s="74"/>
      <c r="B528" s="74"/>
    </row>
    <row r="529">
      <c r="A529" s="74"/>
      <c r="B529" s="74"/>
    </row>
    <row r="530">
      <c r="A530" s="74"/>
      <c r="B530" s="74"/>
    </row>
    <row r="531">
      <c r="A531" s="74"/>
      <c r="B531" s="74"/>
    </row>
    <row r="532">
      <c r="A532" s="74"/>
      <c r="B532" s="74"/>
    </row>
    <row r="533">
      <c r="A533" s="74"/>
      <c r="B533" s="74"/>
    </row>
    <row r="534">
      <c r="A534" s="74"/>
      <c r="B534" s="74"/>
    </row>
    <row r="535">
      <c r="A535" s="74"/>
      <c r="B535" s="74"/>
    </row>
    <row r="536">
      <c r="A536" s="74"/>
      <c r="B536" s="74"/>
    </row>
    <row r="537">
      <c r="A537" s="74"/>
      <c r="B537" s="74"/>
    </row>
    <row r="538">
      <c r="A538" s="74"/>
      <c r="B538" s="74"/>
    </row>
    <row r="539">
      <c r="A539" s="74"/>
      <c r="B539" s="74"/>
    </row>
    <row r="540">
      <c r="A540" s="74"/>
      <c r="B540" s="74"/>
    </row>
    <row r="541">
      <c r="A541" s="74"/>
      <c r="B541" s="74"/>
    </row>
    <row r="542">
      <c r="A542" s="74"/>
      <c r="B542" s="74"/>
    </row>
    <row r="543">
      <c r="A543" s="74"/>
      <c r="B543" s="74"/>
    </row>
    <row r="544">
      <c r="A544" s="74"/>
      <c r="B544" s="74"/>
    </row>
    <row r="545">
      <c r="A545" s="74"/>
      <c r="B545" s="74"/>
    </row>
    <row r="546">
      <c r="A546" s="74"/>
      <c r="B546" s="74"/>
    </row>
    <row r="547">
      <c r="A547" s="74"/>
      <c r="B547" s="74"/>
    </row>
    <row r="548">
      <c r="A548" s="74"/>
      <c r="B548" s="74"/>
    </row>
    <row r="549">
      <c r="A549" s="74"/>
      <c r="B549" s="74"/>
    </row>
    <row r="550">
      <c r="A550" s="74"/>
      <c r="B550" s="74"/>
    </row>
    <row r="551">
      <c r="A551" s="74"/>
      <c r="B551" s="74"/>
    </row>
    <row r="552">
      <c r="A552" s="74"/>
      <c r="B552" s="74"/>
    </row>
    <row r="553">
      <c r="A553" s="74"/>
      <c r="B553" s="74"/>
    </row>
    <row r="554">
      <c r="A554" s="74"/>
      <c r="B554" s="74"/>
    </row>
    <row r="555">
      <c r="A555" s="74"/>
      <c r="B555" s="74"/>
    </row>
    <row r="556">
      <c r="A556" s="74"/>
      <c r="B556" s="74"/>
    </row>
    <row r="557">
      <c r="A557" s="74"/>
      <c r="B557" s="74"/>
    </row>
    <row r="558">
      <c r="A558" s="74"/>
      <c r="B558" s="74"/>
    </row>
    <row r="559">
      <c r="A559" s="74"/>
      <c r="B559" s="74"/>
    </row>
    <row r="560">
      <c r="A560" s="74"/>
      <c r="B560" s="74"/>
    </row>
    <row r="561">
      <c r="A561" s="74"/>
      <c r="B561" s="74"/>
    </row>
    <row r="562">
      <c r="A562" s="74"/>
      <c r="B562" s="74"/>
    </row>
    <row r="563">
      <c r="A563" s="74"/>
      <c r="B563" s="74"/>
    </row>
    <row r="564">
      <c r="A564" s="74"/>
      <c r="B564" s="74"/>
    </row>
    <row r="565">
      <c r="A565" s="74"/>
      <c r="B565" s="74"/>
    </row>
    <row r="566">
      <c r="A566" s="74"/>
      <c r="B566" s="74"/>
    </row>
    <row r="567">
      <c r="A567" s="74"/>
      <c r="B567" s="74"/>
    </row>
    <row r="568">
      <c r="A568" s="74"/>
      <c r="B568" s="74"/>
    </row>
    <row r="569">
      <c r="A569" s="74"/>
      <c r="B569" s="74"/>
    </row>
    <row r="570">
      <c r="A570" s="74"/>
      <c r="B570" s="74"/>
    </row>
    <row r="571">
      <c r="A571" s="74"/>
      <c r="B571" s="74"/>
    </row>
    <row r="572">
      <c r="A572" s="74"/>
      <c r="B572" s="74"/>
    </row>
    <row r="573">
      <c r="A573" s="74"/>
      <c r="B573" s="74"/>
    </row>
    <row r="574">
      <c r="A574" s="74"/>
      <c r="B574" s="74"/>
    </row>
    <row r="575">
      <c r="A575" s="74"/>
      <c r="B575" s="74"/>
    </row>
    <row r="576">
      <c r="A576" s="74"/>
      <c r="B576" s="74"/>
    </row>
    <row r="577">
      <c r="A577" s="74"/>
      <c r="B577" s="74"/>
    </row>
    <row r="578">
      <c r="A578" s="74"/>
      <c r="B578" s="74"/>
    </row>
    <row r="579">
      <c r="A579" s="74"/>
      <c r="B579" s="74"/>
    </row>
    <row r="580">
      <c r="A580" s="74"/>
      <c r="B580" s="74"/>
    </row>
    <row r="581">
      <c r="A581" s="74"/>
      <c r="B581" s="74"/>
    </row>
    <row r="582">
      <c r="A582" s="74"/>
      <c r="B582" s="74"/>
    </row>
    <row r="583">
      <c r="A583" s="74"/>
      <c r="B583" s="74"/>
    </row>
    <row r="584">
      <c r="A584" s="74"/>
      <c r="B584" s="74"/>
    </row>
    <row r="585">
      <c r="A585" s="74"/>
      <c r="B585" s="74"/>
    </row>
    <row r="586">
      <c r="A586" s="74"/>
      <c r="B586" s="74"/>
    </row>
    <row r="587">
      <c r="A587" s="74"/>
      <c r="B587" s="74"/>
    </row>
    <row r="588">
      <c r="A588" s="74"/>
      <c r="B588" s="74"/>
    </row>
    <row r="589">
      <c r="A589" s="74"/>
      <c r="B589" s="74"/>
    </row>
    <row r="590">
      <c r="A590" s="74"/>
      <c r="B590" s="74"/>
    </row>
    <row r="591">
      <c r="A591" s="74"/>
      <c r="B591" s="74"/>
    </row>
    <row r="592">
      <c r="A592" s="74"/>
      <c r="B592" s="74"/>
    </row>
    <row r="593">
      <c r="A593" s="74"/>
      <c r="B593" s="74"/>
    </row>
    <row r="594">
      <c r="A594" s="74"/>
      <c r="B594" s="74"/>
    </row>
    <row r="595">
      <c r="A595" s="74"/>
      <c r="B595" s="74"/>
    </row>
    <row r="596">
      <c r="A596" s="74"/>
      <c r="B596" s="74"/>
    </row>
    <row r="597">
      <c r="A597" s="74"/>
      <c r="B597" s="74"/>
    </row>
    <row r="598">
      <c r="A598" s="74"/>
      <c r="B598" s="74"/>
    </row>
    <row r="599">
      <c r="A599" s="74"/>
      <c r="B599" s="74"/>
    </row>
    <row r="600">
      <c r="A600" s="74"/>
      <c r="B600" s="74"/>
    </row>
    <row r="601">
      <c r="A601" s="74"/>
      <c r="B601" s="74"/>
    </row>
    <row r="602">
      <c r="A602" s="74"/>
      <c r="B602" s="74"/>
    </row>
    <row r="603">
      <c r="A603" s="74"/>
      <c r="B603" s="74"/>
    </row>
    <row r="604">
      <c r="A604" s="74"/>
      <c r="B604" s="74"/>
    </row>
    <row r="605">
      <c r="A605" s="74"/>
      <c r="B605" s="74"/>
    </row>
    <row r="606">
      <c r="A606" s="74"/>
      <c r="B606" s="74"/>
    </row>
    <row r="607">
      <c r="A607" s="74"/>
      <c r="B607" s="74"/>
    </row>
    <row r="608">
      <c r="A608" s="74"/>
      <c r="B608" s="74"/>
    </row>
    <row r="609">
      <c r="A609" s="74"/>
      <c r="B609" s="74"/>
    </row>
    <row r="610">
      <c r="A610" s="74"/>
      <c r="B610" s="74"/>
    </row>
    <row r="611">
      <c r="A611" s="74"/>
      <c r="B611" s="74"/>
    </row>
    <row r="612">
      <c r="A612" s="74"/>
      <c r="B612" s="74"/>
    </row>
    <row r="613">
      <c r="A613" s="74"/>
      <c r="B613" s="74"/>
    </row>
    <row r="614">
      <c r="A614" s="74"/>
      <c r="B614" s="74"/>
    </row>
    <row r="615">
      <c r="A615" s="74"/>
      <c r="B615" s="74"/>
    </row>
    <row r="616">
      <c r="A616" s="74"/>
      <c r="B616" s="74"/>
    </row>
    <row r="617">
      <c r="A617" s="74"/>
      <c r="B617" s="74"/>
    </row>
    <row r="618">
      <c r="A618" s="74"/>
      <c r="B618" s="74"/>
    </row>
    <row r="619">
      <c r="A619" s="74"/>
      <c r="B619" s="74"/>
    </row>
    <row r="620">
      <c r="A620" s="74"/>
      <c r="B620" s="74"/>
    </row>
    <row r="621">
      <c r="A621" s="74"/>
      <c r="B621" s="74"/>
    </row>
    <row r="622">
      <c r="A622" s="74"/>
      <c r="B622" s="74"/>
    </row>
    <row r="623">
      <c r="A623" s="74"/>
      <c r="B623" s="74"/>
    </row>
    <row r="624">
      <c r="A624" s="74"/>
      <c r="B624" s="7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</cols>
  <sheetData>
    <row r="1">
      <c r="A1" s="2" t="s">
        <v>1</v>
      </c>
      <c r="B1" s="6"/>
    </row>
    <row r="2">
      <c r="A2" s="2" t="s">
        <v>6</v>
      </c>
      <c r="B2" s="6">
        <v>7688.0</v>
      </c>
      <c r="C2" s="24">
        <f>IFERROR(__xludf.DUMMYFUNCTION("TO_PERCENT(B2/B8)"),0.8735370980570389)</f>
        <v>0.8735370981</v>
      </c>
    </row>
    <row r="3">
      <c r="A3" s="2" t="s">
        <v>35</v>
      </c>
      <c r="B3" s="6">
        <v>509.0</v>
      </c>
      <c r="C3" s="26">
        <f>IFERROR(__xludf.DUMMYFUNCTION("TO_PERCENT(B3/B8)"),0.05783433700715828)</f>
        <v>0.05783433701</v>
      </c>
    </row>
    <row r="4">
      <c r="A4" s="28" t="s">
        <v>48</v>
      </c>
      <c r="B4" s="29">
        <v>365.0</v>
      </c>
      <c r="C4" s="31">
        <f>IFERROR(__xludf.DUMMYFUNCTION("TO_PERCENT(B4/B8)"),0.04147255993637087)</f>
        <v>0.04147255994</v>
      </c>
    </row>
    <row r="5">
      <c r="A5" s="2" t="s">
        <v>55</v>
      </c>
      <c r="B5" s="6">
        <v>235.0</v>
      </c>
      <c r="C5" s="26">
        <f>IFERROR(__xludf.DUMMYFUNCTION("TO_PERCENT(B5/B8)"),0.02670151119191001)</f>
        <v>0.02670151119</v>
      </c>
    </row>
    <row r="6">
      <c r="A6" s="2" t="s">
        <v>63</v>
      </c>
      <c r="B6" s="2">
        <v>2.0</v>
      </c>
      <c r="C6" s="26">
        <f>IFERROR(__xludf.DUMMYFUNCTION("TO_PERCENT(B6/B8)"),2.2724690376093625E-4)</f>
        <v>0.0002272469038</v>
      </c>
    </row>
    <row r="7">
      <c r="A7" s="2" t="s">
        <v>70</v>
      </c>
      <c r="B7" s="2">
        <v>2.0</v>
      </c>
      <c r="C7" s="26">
        <f>IFERROR(__xludf.DUMMYFUNCTION("TO_PERCENT(B7/B8)"),2.2724690376093625E-4)</f>
        <v>0.0002272469038</v>
      </c>
    </row>
    <row r="8">
      <c r="A8" s="7" t="s">
        <v>77</v>
      </c>
      <c r="B8">
        <f>SUM(B2:B7)</f>
        <v>8801</v>
      </c>
    </row>
    <row r="11">
      <c r="A11" s="2" t="s">
        <v>98</v>
      </c>
      <c r="B11" s="2"/>
    </row>
    <row r="12">
      <c r="A12" s="2" t="s">
        <v>101</v>
      </c>
    </row>
    <row r="13">
      <c r="A13" s="2" t="s">
        <v>104</v>
      </c>
      <c r="B13" s="13">
        <v>222.0</v>
      </c>
      <c r="C13" s="24">
        <f>IFERROR(__xludf.DUMMYFUNCTION("TO_PERCENT(B13/B18)"),0.8283582089552238)</f>
        <v>0.828358209</v>
      </c>
    </row>
    <row r="14">
      <c r="A14" s="2" t="s">
        <v>116</v>
      </c>
      <c r="B14" s="2">
        <v>44.0</v>
      </c>
      <c r="C14" s="24">
        <f>IFERROR(__xludf.DUMMYFUNCTION("TO_PERCENT(B14/B18)"),0.16417910447761194)</f>
        <v>0.1641791045</v>
      </c>
    </row>
    <row r="15">
      <c r="A15" s="2" t="s">
        <v>125</v>
      </c>
      <c r="C15" s="24">
        <f>IFERROR(__xludf.DUMMYFUNCTION("TO_PERCENT(B15/B18)"),0.0)</f>
        <v>0</v>
      </c>
    </row>
    <row r="16">
      <c r="A16" s="2" t="s">
        <v>132</v>
      </c>
      <c r="B16" s="2"/>
      <c r="C16" s="24">
        <f>IFERROR(__xludf.DUMMYFUNCTION("TO_PERCENT(B16/B18)"),0.0)</f>
        <v>0</v>
      </c>
    </row>
    <row r="17">
      <c r="A17" s="2" t="s">
        <v>138</v>
      </c>
      <c r="B17" s="2">
        <v>2.0</v>
      </c>
      <c r="C17" s="24">
        <f>IFERROR(__xludf.DUMMYFUNCTION("TO_PERCENT(B17/B18)"),0.007462686567164179)</f>
        <v>0.007462686567</v>
      </c>
    </row>
    <row r="18">
      <c r="A18" s="2" t="s">
        <v>146</v>
      </c>
      <c r="B18" s="13">
        <v>268.0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28.43"/>
    <col customWidth="1" min="2" max="2" width="23.29"/>
    <col customWidth="1" min="3" max="4" width="37.0"/>
    <col customWidth="1" min="5" max="5" width="30.57"/>
    <col customWidth="1" min="6" max="6" width="16.71"/>
    <col customWidth="1" min="7" max="7" width="8.71"/>
    <col customWidth="1" min="8" max="8" width="14.57"/>
    <col customWidth="1" min="9" max="9" width="18.57"/>
    <col customWidth="1" min="10" max="10" width="8.71"/>
    <col customWidth="1" min="11" max="27" width="14.57"/>
  </cols>
  <sheetData>
    <row r="1">
      <c r="A1" s="1"/>
      <c r="B1" s="4" t="s">
        <v>2</v>
      </c>
      <c r="C1" s="1" t="s">
        <v>3</v>
      </c>
      <c r="D1" s="1" t="s">
        <v>4</v>
      </c>
      <c r="E1" s="7" t="s">
        <v>5</v>
      </c>
      <c r="F1" s="10" t="s">
        <v>7</v>
      </c>
      <c r="G1" s="11"/>
      <c r="H1" s="2" t="s">
        <v>11</v>
      </c>
      <c r="I1" s="14"/>
      <c r="J1" s="11"/>
      <c r="L1" s="11"/>
    </row>
    <row r="2">
      <c r="A2" s="17" t="s">
        <v>12</v>
      </c>
      <c r="B2" s="19"/>
      <c r="C2" s="19"/>
      <c r="D2" s="20"/>
      <c r="E2" s="19"/>
      <c r="F2" s="17"/>
      <c r="G2" s="20"/>
      <c r="H2" s="19"/>
      <c r="I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</row>
    <row r="3">
      <c r="A3" s="17" t="s">
        <v>27</v>
      </c>
      <c r="B3" s="17"/>
      <c r="C3" s="19"/>
      <c r="D3" s="20"/>
      <c r="E3" s="19"/>
      <c r="F3" s="17" t="s">
        <v>30</v>
      </c>
      <c r="G3" s="20"/>
      <c r="H3" s="19"/>
      <c r="I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17" t="s">
        <v>39</v>
      </c>
      <c r="B4" s="19"/>
      <c r="C4" s="19"/>
      <c r="D4" s="20"/>
      <c r="E4" s="19"/>
      <c r="F4" s="17" t="s">
        <v>41</v>
      </c>
      <c r="G4" s="20"/>
      <c r="H4" s="19"/>
      <c r="I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</row>
    <row r="5">
      <c r="A5" s="17" t="s">
        <v>47</v>
      </c>
      <c r="B5" s="19"/>
      <c r="C5" s="19"/>
      <c r="D5" s="20"/>
      <c r="E5" s="19"/>
      <c r="F5" s="19"/>
      <c r="G5" s="20"/>
      <c r="H5" s="19"/>
      <c r="I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>
      <c r="A6" s="17" t="s">
        <v>52</v>
      </c>
      <c r="B6" s="19"/>
      <c r="C6" s="19"/>
      <c r="D6" s="20"/>
      <c r="E6" s="19"/>
      <c r="F6" s="17" t="s">
        <v>54</v>
      </c>
      <c r="G6" s="20"/>
      <c r="H6" s="19"/>
      <c r="I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</row>
    <row r="7">
      <c r="A7" s="17" t="s">
        <v>56</v>
      </c>
      <c r="B7" s="19"/>
      <c r="C7" s="19"/>
      <c r="D7" s="34" t="s">
        <v>57</v>
      </c>
      <c r="E7" s="35" t="s">
        <v>59</v>
      </c>
      <c r="F7" s="17" t="s">
        <v>61</v>
      </c>
      <c r="G7" s="20"/>
      <c r="H7" s="19"/>
      <c r="I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</row>
    <row r="8">
      <c r="A8" s="17" t="s">
        <v>65</v>
      </c>
      <c r="B8" s="17"/>
      <c r="C8" s="19"/>
      <c r="D8" s="20"/>
      <c r="E8" s="19"/>
      <c r="F8" s="17" t="s">
        <v>67</v>
      </c>
      <c r="G8" s="20"/>
      <c r="H8" s="19"/>
      <c r="I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</row>
    <row r="9">
      <c r="A9" s="36" t="s">
        <v>73</v>
      </c>
      <c r="B9" s="37"/>
      <c r="C9" s="37"/>
      <c r="D9" s="38" t="s">
        <v>79</v>
      </c>
      <c r="E9" s="36" t="s">
        <v>81</v>
      </c>
      <c r="F9" s="36" t="s">
        <v>73</v>
      </c>
      <c r="G9" s="39"/>
      <c r="H9" s="37"/>
      <c r="I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</row>
    <row r="10">
      <c r="A10" s="17" t="s">
        <v>87</v>
      </c>
      <c r="B10" s="17"/>
      <c r="C10" s="19"/>
      <c r="D10" s="20"/>
      <c r="E10" s="19"/>
      <c r="F10" s="17" t="s">
        <v>89</v>
      </c>
      <c r="G10" s="20"/>
      <c r="H10" s="19"/>
      <c r="I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</row>
    <row r="11">
      <c r="A11" s="36" t="s">
        <v>94</v>
      </c>
      <c r="B11" s="37"/>
      <c r="C11" s="37"/>
      <c r="D11" s="38" t="s">
        <v>100</v>
      </c>
      <c r="E11" s="38" t="s">
        <v>103</v>
      </c>
      <c r="F11" s="36" t="s">
        <v>105</v>
      </c>
      <c r="G11" s="39"/>
      <c r="H11" s="37"/>
      <c r="I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</row>
    <row r="12">
      <c r="A12" s="17" t="s">
        <v>111</v>
      </c>
      <c r="B12" s="19"/>
      <c r="C12" s="19"/>
      <c r="D12" s="20"/>
      <c r="E12" s="19"/>
      <c r="F12" s="17" t="s">
        <v>113</v>
      </c>
      <c r="G12" s="20"/>
      <c r="H12" s="19"/>
      <c r="I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</row>
    <row r="13">
      <c r="A13" s="17" t="s">
        <v>110</v>
      </c>
      <c r="B13" s="19"/>
      <c r="C13" s="19"/>
      <c r="D13" s="20"/>
      <c r="E13" s="19"/>
      <c r="F13" s="17" t="s">
        <v>119</v>
      </c>
      <c r="G13" s="20"/>
      <c r="H13" s="19"/>
      <c r="I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</row>
    <row r="14">
      <c r="A14" s="17" t="s">
        <v>124</v>
      </c>
      <c r="B14" s="19"/>
      <c r="C14" s="19"/>
      <c r="D14" s="34" t="s">
        <v>127</v>
      </c>
      <c r="E14" s="17" t="s">
        <v>128</v>
      </c>
      <c r="F14" s="19"/>
      <c r="G14" s="20"/>
      <c r="H14" s="19"/>
      <c r="I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</row>
    <row r="15">
      <c r="A15" s="17" t="s">
        <v>122</v>
      </c>
      <c r="B15" s="19"/>
      <c r="C15" s="19"/>
      <c r="D15" s="20"/>
      <c r="E15" s="19"/>
      <c r="F15" s="17" t="s">
        <v>136</v>
      </c>
      <c r="G15" s="20"/>
      <c r="H15" s="19"/>
      <c r="I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</row>
    <row r="16">
      <c r="A16" s="17" t="s">
        <v>142</v>
      </c>
      <c r="B16" s="17"/>
      <c r="C16" s="19"/>
      <c r="D16" s="20"/>
      <c r="E16" s="19"/>
      <c r="F16" s="17" t="s">
        <v>142</v>
      </c>
      <c r="G16" s="20"/>
      <c r="H16" s="19"/>
      <c r="I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</row>
    <row r="17">
      <c r="A17" s="17" t="s">
        <v>145</v>
      </c>
      <c r="B17" s="19"/>
      <c r="C17" s="19"/>
      <c r="D17" s="20"/>
      <c r="E17" s="19"/>
      <c r="F17" s="17" t="s">
        <v>148</v>
      </c>
      <c r="G17" s="20"/>
      <c r="H17" s="19"/>
      <c r="I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>
      <c r="A18" s="17" t="s">
        <v>150</v>
      </c>
      <c r="B18" s="17" t="s">
        <v>152</v>
      </c>
      <c r="C18" s="19"/>
      <c r="D18" s="20"/>
      <c r="E18" s="19"/>
      <c r="F18" s="17" t="s">
        <v>153</v>
      </c>
      <c r="G18" s="20"/>
      <c r="H18" s="19"/>
      <c r="I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</row>
    <row r="19">
      <c r="A19" s="17" t="s">
        <v>160</v>
      </c>
      <c r="B19" s="19"/>
      <c r="C19" s="19"/>
      <c r="D19" s="20"/>
      <c r="E19" s="19"/>
      <c r="F19" s="19"/>
      <c r="G19" s="20"/>
      <c r="H19" s="19"/>
      <c r="I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</row>
    <row r="20">
      <c r="A20" s="17" t="s">
        <v>168</v>
      </c>
      <c r="B20" s="19"/>
      <c r="C20" s="19"/>
      <c r="D20" s="20"/>
      <c r="E20" s="19"/>
      <c r="F20" s="17" t="s">
        <v>174</v>
      </c>
      <c r="G20" s="20"/>
      <c r="H20" s="19"/>
      <c r="I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>
      <c r="A21" s="17" t="s">
        <v>182</v>
      </c>
      <c r="B21" s="17" t="s">
        <v>185</v>
      </c>
      <c r="C21" s="19"/>
      <c r="D21" s="20"/>
      <c r="E21" s="19"/>
      <c r="F21" s="17" t="s">
        <v>188</v>
      </c>
      <c r="G21" s="20"/>
      <c r="H21" s="19"/>
      <c r="I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</row>
    <row r="22">
      <c r="A22" s="17" t="s">
        <v>193</v>
      </c>
      <c r="B22" s="19"/>
      <c r="C22" s="19"/>
      <c r="D22" s="20"/>
      <c r="E22" s="54" t="s">
        <v>197</v>
      </c>
      <c r="F22" s="17" t="s">
        <v>193</v>
      </c>
      <c r="G22" s="20"/>
      <c r="H22" s="19"/>
      <c r="I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</row>
    <row r="23">
      <c r="A23" s="17" t="s">
        <v>204</v>
      </c>
      <c r="B23" s="19"/>
      <c r="C23" s="19"/>
      <c r="D23" s="20"/>
      <c r="E23" s="19"/>
      <c r="F23" s="17" t="s">
        <v>206</v>
      </c>
      <c r="G23" s="20"/>
      <c r="H23" s="19"/>
      <c r="I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</row>
    <row r="24">
      <c r="A24" s="17" t="s">
        <v>214</v>
      </c>
      <c r="B24" s="19"/>
      <c r="C24" s="19"/>
      <c r="D24" s="20"/>
      <c r="E24" s="19"/>
      <c r="F24" s="19"/>
      <c r="G24" s="20"/>
      <c r="H24" s="19"/>
      <c r="I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</row>
    <row r="25">
      <c r="A25" s="17" t="s">
        <v>227</v>
      </c>
      <c r="B25" s="17" t="s">
        <v>229</v>
      </c>
      <c r="C25" s="19"/>
      <c r="D25" s="20"/>
      <c r="E25" s="19"/>
      <c r="F25" s="17" t="s">
        <v>231</v>
      </c>
      <c r="G25" s="20"/>
      <c r="H25" s="19"/>
      <c r="I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</row>
    <row r="26">
      <c r="A26" s="17" t="s">
        <v>238</v>
      </c>
      <c r="B26" s="19"/>
      <c r="C26" s="19"/>
      <c r="D26" s="20"/>
      <c r="E26" s="17" t="s">
        <v>241</v>
      </c>
      <c r="F26" s="19"/>
      <c r="G26" s="20"/>
      <c r="H26" s="19"/>
      <c r="I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</row>
    <row r="27">
      <c r="A27" s="17" t="s">
        <v>248</v>
      </c>
      <c r="B27" s="17" t="s">
        <v>250</v>
      </c>
      <c r="C27" s="19"/>
      <c r="D27" s="20"/>
      <c r="E27" s="19"/>
      <c r="F27" s="17" t="s">
        <v>252</v>
      </c>
      <c r="G27" s="20"/>
      <c r="H27" s="19"/>
      <c r="I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</row>
    <row r="28">
      <c r="A28" s="17" t="s">
        <v>257</v>
      </c>
      <c r="B28" s="17" t="s">
        <v>259</v>
      </c>
      <c r="C28" s="19"/>
      <c r="D28" s="20"/>
      <c r="E28" s="19"/>
      <c r="F28" s="17" t="s">
        <v>257</v>
      </c>
      <c r="G28" s="20"/>
      <c r="H28" s="19"/>
      <c r="I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</row>
    <row r="29">
      <c r="A29" s="17" t="s">
        <v>266</v>
      </c>
      <c r="B29" s="19"/>
      <c r="C29" s="19"/>
      <c r="D29" s="20"/>
      <c r="E29" s="19"/>
      <c r="F29" s="17" t="s">
        <v>269</v>
      </c>
      <c r="G29" s="20"/>
      <c r="H29" s="19"/>
      <c r="I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</row>
    <row r="30">
      <c r="A30" s="17" t="s">
        <v>273</v>
      </c>
      <c r="B30" s="17"/>
      <c r="C30" s="19"/>
      <c r="D30" s="20"/>
      <c r="E30" s="19"/>
      <c r="F30" s="34" t="s">
        <v>275</v>
      </c>
      <c r="G30" s="20"/>
      <c r="H30" s="19"/>
      <c r="I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</row>
    <row r="31">
      <c r="A31" s="17" t="s">
        <v>280</v>
      </c>
      <c r="B31" s="19"/>
      <c r="C31" s="19"/>
      <c r="D31" s="34" t="s">
        <v>281</v>
      </c>
      <c r="E31" s="19"/>
      <c r="F31" s="19"/>
      <c r="G31" s="20"/>
      <c r="H31" s="19"/>
      <c r="I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</row>
    <row r="32">
      <c r="A32" s="17" t="s">
        <v>287</v>
      </c>
      <c r="B32" s="19"/>
      <c r="C32" s="19"/>
      <c r="D32" s="34" t="s">
        <v>289</v>
      </c>
      <c r="E32" s="17" t="s">
        <v>290</v>
      </c>
      <c r="F32" s="19"/>
      <c r="G32" s="20"/>
      <c r="H32" s="19"/>
      <c r="I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</row>
    <row r="33">
      <c r="A33" s="17" t="s">
        <v>295</v>
      </c>
      <c r="B33" s="17" t="s">
        <v>296</v>
      </c>
      <c r="C33" s="17"/>
      <c r="D33" s="20"/>
      <c r="E33" s="19"/>
      <c r="F33" s="17" t="s">
        <v>296</v>
      </c>
      <c r="G33" s="20"/>
      <c r="H33" s="19"/>
      <c r="I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</row>
    <row r="34">
      <c r="A34" s="17" t="s">
        <v>302</v>
      </c>
      <c r="B34" s="19"/>
      <c r="C34" s="19"/>
      <c r="D34" s="20"/>
      <c r="E34" s="19"/>
      <c r="F34" s="17" t="s">
        <v>304</v>
      </c>
      <c r="G34" s="20"/>
      <c r="H34" s="19"/>
      <c r="I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</row>
    <row r="35">
      <c r="A35" s="17" t="s">
        <v>308</v>
      </c>
      <c r="B35" s="19"/>
      <c r="C35" s="19"/>
      <c r="D35" s="20"/>
      <c r="E35" s="19"/>
      <c r="F35" s="17" t="s">
        <v>310</v>
      </c>
      <c r="G35" s="20"/>
      <c r="H35" s="19"/>
      <c r="I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</row>
    <row r="36">
      <c r="A36" s="17" t="s">
        <v>313</v>
      </c>
      <c r="B36" s="19"/>
      <c r="C36" s="19"/>
      <c r="D36" s="54" t="s">
        <v>316</v>
      </c>
      <c r="E36" s="19"/>
      <c r="F36" s="17" t="s">
        <v>318</v>
      </c>
      <c r="G36" s="20"/>
      <c r="H36" s="19"/>
      <c r="I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</row>
    <row r="37">
      <c r="A37" s="17" t="s">
        <v>323</v>
      </c>
      <c r="B37" s="19"/>
      <c r="C37" s="19"/>
      <c r="D37" s="20"/>
      <c r="E37" s="19"/>
      <c r="F37" s="17" t="s">
        <v>326</v>
      </c>
      <c r="G37" s="20"/>
      <c r="H37" s="19"/>
      <c r="I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</row>
    <row r="38">
      <c r="A38" s="36" t="s">
        <v>331</v>
      </c>
      <c r="B38" s="37"/>
      <c r="C38" s="37"/>
      <c r="D38" s="38" t="s">
        <v>289</v>
      </c>
      <c r="E38" s="36" t="s">
        <v>332</v>
      </c>
      <c r="F38" s="37"/>
      <c r="G38" s="39"/>
      <c r="H38" s="37"/>
      <c r="I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</row>
    <row r="39">
      <c r="A39" s="17" t="s">
        <v>335</v>
      </c>
      <c r="B39" s="19"/>
      <c r="C39" s="19"/>
      <c r="D39" s="20"/>
      <c r="E39" s="34" t="s">
        <v>337</v>
      </c>
      <c r="F39" s="19"/>
      <c r="G39" s="20"/>
      <c r="H39" s="19"/>
      <c r="I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</row>
    <row r="40">
      <c r="A40" s="17" t="s">
        <v>341</v>
      </c>
      <c r="B40" s="19"/>
      <c r="C40" s="19"/>
      <c r="D40" s="20"/>
      <c r="E40" s="19"/>
      <c r="F40" s="17" t="s">
        <v>344</v>
      </c>
      <c r="G40" s="20"/>
      <c r="H40" s="19"/>
      <c r="I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>
      <c r="A41" s="17" t="s">
        <v>346</v>
      </c>
      <c r="B41" s="19"/>
      <c r="C41" s="19"/>
      <c r="D41" s="20"/>
      <c r="E41" s="19"/>
      <c r="F41" s="17" t="s">
        <v>348</v>
      </c>
      <c r="G41" s="20"/>
      <c r="H41" s="19"/>
      <c r="I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</row>
    <row r="42">
      <c r="A42" s="17" t="s">
        <v>351</v>
      </c>
      <c r="B42" s="19"/>
      <c r="C42" s="19"/>
      <c r="D42" s="20"/>
      <c r="E42" s="19"/>
      <c r="F42" s="17" t="s">
        <v>352</v>
      </c>
      <c r="G42" s="20"/>
      <c r="H42" s="19"/>
      <c r="I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</row>
    <row r="43">
      <c r="A43" s="17" t="s">
        <v>354</v>
      </c>
      <c r="B43" s="19"/>
      <c r="C43" s="19"/>
      <c r="D43" s="34" t="s">
        <v>355</v>
      </c>
      <c r="E43" s="17" t="s">
        <v>356</v>
      </c>
      <c r="F43" s="17" t="s">
        <v>354</v>
      </c>
      <c r="G43" s="20"/>
      <c r="H43" s="19"/>
      <c r="I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</row>
    <row r="44">
      <c r="A44" s="36" t="s">
        <v>360</v>
      </c>
      <c r="B44" s="37"/>
      <c r="C44" s="37"/>
      <c r="D44" s="38" t="s">
        <v>361</v>
      </c>
      <c r="E44" s="36" t="s">
        <v>363</v>
      </c>
      <c r="F44" s="37"/>
      <c r="G44" s="39"/>
      <c r="H44" s="37"/>
      <c r="I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</row>
    <row r="45">
      <c r="A45" s="17" t="s">
        <v>369</v>
      </c>
      <c r="B45" s="19"/>
      <c r="C45" s="19"/>
      <c r="D45" s="20"/>
      <c r="E45" s="19"/>
      <c r="F45" s="17" t="s">
        <v>374</v>
      </c>
      <c r="G45" s="20"/>
      <c r="H45" s="19"/>
      <c r="I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</row>
    <row r="46">
      <c r="A46" s="17" t="s">
        <v>380</v>
      </c>
      <c r="B46" s="19"/>
      <c r="C46" s="19"/>
      <c r="D46" s="34" t="s">
        <v>382</v>
      </c>
      <c r="E46" s="17" t="s">
        <v>383</v>
      </c>
      <c r="F46" s="19"/>
      <c r="G46" s="20"/>
      <c r="H46" s="19"/>
      <c r="I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</row>
    <row r="47">
      <c r="A47" s="17" t="s">
        <v>385</v>
      </c>
      <c r="B47" s="19"/>
      <c r="C47" s="19"/>
      <c r="D47" s="20"/>
      <c r="E47" s="19"/>
      <c r="F47" s="19"/>
      <c r="G47" s="20"/>
      <c r="H47" s="19"/>
      <c r="I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</row>
    <row r="48">
      <c r="A48" s="17" t="s">
        <v>391</v>
      </c>
      <c r="B48" s="19"/>
      <c r="C48" s="19"/>
      <c r="D48" s="20"/>
      <c r="E48" s="19"/>
      <c r="F48" s="17"/>
      <c r="G48" s="20"/>
      <c r="H48" s="19"/>
      <c r="I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7" t="s">
        <v>396</v>
      </c>
      <c r="B49" s="19"/>
      <c r="C49" s="19"/>
      <c r="D49" s="20"/>
      <c r="E49" s="19"/>
      <c r="F49" s="17" t="s">
        <v>398</v>
      </c>
      <c r="G49" s="20"/>
      <c r="H49" s="19"/>
      <c r="I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7" t="s">
        <v>403</v>
      </c>
      <c r="B50" s="17" t="s">
        <v>285</v>
      </c>
      <c r="C50" s="19"/>
      <c r="D50" s="20"/>
      <c r="E50" s="19"/>
      <c r="F50" s="17" t="s">
        <v>403</v>
      </c>
      <c r="G50" s="20"/>
      <c r="H50" s="19"/>
      <c r="I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7" t="s">
        <v>409</v>
      </c>
      <c r="B51" s="19"/>
      <c r="C51" s="19"/>
      <c r="D51" s="20"/>
      <c r="E51" s="19"/>
      <c r="F51" s="17" t="s">
        <v>412</v>
      </c>
      <c r="G51" s="20"/>
      <c r="H51" s="19"/>
      <c r="I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</row>
    <row r="52">
      <c r="A52" s="17" t="s">
        <v>418</v>
      </c>
      <c r="B52" s="56" t="s">
        <v>420</v>
      </c>
      <c r="C52" s="19"/>
      <c r="D52" s="20"/>
      <c r="E52" s="19"/>
      <c r="F52" s="17" t="s">
        <v>418</v>
      </c>
      <c r="G52" s="20"/>
      <c r="H52" s="19"/>
      <c r="I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</row>
    <row r="53">
      <c r="A53" s="17" t="s">
        <v>425</v>
      </c>
      <c r="B53" s="19"/>
      <c r="C53" s="19"/>
      <c r="D53" s="20"/>
      <c r="E53" s="19"/>
      <c r="F53" s="19"/>
      <c r="G53" s="20"/>
      <c r="H53" s="19"/>
      <c r="I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</row>
    <row r="54">
      <c r="A54" s="17" t="s">
        <v>431</v>
      </c>
      <c r="B54" s="19"/>
      <c r="C54" s="19"/>
      <c r="D54" s="20"/>
      <c r="E54" s="19"/>
      <c r="F54" s="17" t="s">
        <v>431</v>
      </c>
      <c r="G54" s="20"/>
      <c r="H54" s="19"/>
      <c r="I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</row>
    <row r="55">
      <c r="A55" s="17" t="s">
        <v>441</v>
      </c>
      <c r="B55" s="19"/>
      <c r="C55" s="19"/>
      <c r="D55" s="20"/>
      <c r="E55" s="19"/>
      <c r="F55" s="17" t="s">
        <v>442</v>
      </c>
      <c r="G55" s="20"/>
      <c r="H55" s="19"/>
      <c r="I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>
      <c r="A56" s="17" t="s">
        <v>449</v>
      </c>
      <c r="B56" s="19"/>
      <c r="C56" s="19"/>
      <c r="D56" s="20"/>
      <c r="E56" s="19"/>
      <c r="F56" s="19"/>
      <c r="G56" s="20"/>
      <c r="H56" s="19"/>
      <c r="I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</row>
    <row r="57">
      <c r="A57" s="17" t="s">
        <v>459</v>
      </c>
      <c r="B57" s="56" t="s">
        <v>460</v>
      </c>
      <c r="C57" s="19"/>
      <c r="D57" s="20"/>
      <c r="E57" s="17" t="s">
        <v>462</v>
      </c>
      <c r="F57" s="34" t="s">
        <v>463</v>
      </c>
      <c r="G57" s="20"/>
      <c r="H57" s="19"/>
      <c r="I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</row>
    <row r="58">
      <c r="A58" s="17" t="s">
        <v>470</v>
      </c>
      <c r="B58" s="19"/>
      <c r="C58" s="19"/>
      <c r="D58" s="20"/>
      <c r="E58" s="19"/>
      <c r="F58" s="17" t="s">
        <v>473</v>
      </c>
      <c r="G58" s="20"/>
      <c r="H58" s="19"/>
      <c r="I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</row>
    <row r="59">
      <c r="A59" s="17" t="s">
        <v>478</v>
      </c>
      <c r="B59" s="19"/>
      <c r="C59" s="19"/>
      <c r="D59" s="20"/>
      <c r="E59" s="17" t="s">
        <v>481</v>
      </c>
      <c r="F59" s="19"/>
      <c r="G59" s="20"/>
      <c r="H59" s="19"/>
      <c r="I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</row>
    <row r="60">
      <c r="A60" s="36" t="s">
        <v>490</v>
      </c>
      <c r="B60" s="37"/>
      <c r="C60" s="37"/>
      <c r="D60" s="38" t="s">
        <v>494</v>
      </c>
      <c r="E60" s="36" t="s">
        <v>497</v>
      </c>
      <c r="F60" s="37"/>
      <c r="G60" s="39"/>
      <c r="H60" s="37"/>
      <c r="I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</row>
    <row r="61">
      <c r="A61" s="36" t="s">
        <v>504</v>
      </c>
      <c r="B61" s="37"/>
      <c r="C61" s="37"/>
      <c r="D61" s="38" t="s">
        <v>506</v>
      </c>
      <c r="E61" s="36" t="s">
        <v>507</v>
      </c>
      <c r="F61" s="37"/>
      <c r="G61" s="39"/>
      <c r="H61" s="37"/>
      <c r="I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</row>
    <row r="62">
      <c r="A62" s="17" t="s">
        <v>512</v>
      </c>
      <c r="B62" s="19"/>
      <c r="C62" s="19"/>
      <c r="D62" s="20"/>
      <c r="E62" s="19"/>
      <c r="F62" s="17" t="s">
        <v>515</v>
      </c>
      <c r="G62" s="20"/>
      <c r="H62" s="19"/>
      <c r="I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</row>
    <row r="63">
      <c r="A63" s="17" t="s">
        <v>521</v>
      </c>
      <c r="B63" s="19"/>
      <c r="C63" s="19"/>
      <c r="D63" s="20"/>
      <c r="E63" s="19"/>
      <c r="F63" s="17" t="s">
        <v>524</v>
      </c>
      <c r="G63" s="20"/>
      <c r="H63" s="19"/>
      <c r="I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</row>
    <row r="64">
      <c r="A64" s="36" t="s">
        <v>531</v>
      </c>
      <c r="B64" s="37"/>
      <c r="C64" s="37"/>
      <c r="D64" s="38" t="s">
        <v>533</v>
      </c>
      <c r="E64" s="36" t="s">
        <v>535</v>
      </c>
      <c r="F64" s="36" t="s">
        <v>531</v>
      </c>
      <c r="G64" s="39"/>
      <c r="H64" s="37"/>
      <c r="I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</row>
    <row r="65">
      <c r="A65" s="17" t="s">
        <v>446</v>
      </c>
      <c r="B65" s="19"/>
      <c r="C65" s="19"/>
      <c r="D65" s="20"/>
      <c r="E65" s="19"/>
      <c r="F65" s="17" t="s">
        <v>447</v>
      </c>
      <c r="G65" s="20"/>
      <c r="H65" s="19"/>
      <c r="I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</row>
    <row r="66">
      <c r="A66" s="17" t="s">
        <v>452</v>
      </c>
      <c r="B66" s="19"/>
      <c r="C66" s="19"/>
      <c r="D66" s="20"/>
      <c r="E66" s="19"/>
      <c r="F66" s="19"/>
      <c r="G66" s="20"/>
      <c r="H66" s="19"/>
      <c r="I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</row>
    <row r="67">
      <c r="A67" s="36" t="s">
        <v>557</v>
      </c>
      <c r="B67" s="37"/>
      <c r="C67" s="37"/>
      <c r="D67" s="38"/>
      <c r="E67" s="36" t="s">
        <v>559</v>
      </c>
      <c r="F67" s="37"/>
      <c r="G67" s="39"/>
      <c r="H67" s="37"/>
      <c r="I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</row>
    <row r="68">
      <c r="A68" s="17" t="s">
        <v>566</v>
      </c>
      <c r="B68" s="19"/>
      <c r="C68" s="19"/>
      <c r="D68" s="20"/>
      <c r="E68" s="17" t="s">
        <v>570</v>
      </c>
      <c r="F68" s="17" t="s">
        <v>571</v>
      </c>
      <c r="G68" s="20"/>
      <c r="H68" s="19"/>
      <c r="I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</row>
    <row r="69">
      <c r="A69" s="17" t="s">
        <v>578</v>
      </c>
      <c r="B69" s="17" t="s">
        <v>579</v>
      </c>
      <c r="C69" s="19"/>
      <c r="D69" s="20"/>
      <c r="E69" s="19"/>
      <c r="F69" s="17" t="s">
        <v>581</v>
      </c>
      <c r="G69" s="20"/>
      <c r="H69" s="19"/>
      <c r="I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</row>
    <row r="70">
      <c r="A70" s="17" t="s">
        <v>590</v>
      </c>
      <c r="B70" s="19"/>
      <c r="C70" s="19"/>
      <c r="D70" s="20"/>
      <c r="E70" s="19"/>
      <c r="F70" s="17" t="s">
        <v>593</v>
      </c>
      <c r="G70" s="20"/>
      <c r="H70" s="19"/>
      <c r="I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</row>
    <row r="71">
      <c r="A71" s="17" t="s">
        <v>585</v>
      </c>
      <c r="B71" s="19"/>
      <c r="C71" s="19"/>
      <c r="D71" s="20"/>
      <c r="E71" s="19"/>
      <c r="F71" s="17" t="s">
        <v>601</v>
      </c>
      <c r="G71" s="20"/>
      <c r="H71" s="19"/>
      <c r="I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</row>
    <row r="72">
      <c r="A72" s="17" t="s">
        <v>606</v>
      </c>
      <c r="B72" s="19"/>
      <c r="C72" s="19"/>
      <c r="D72" s="20"/>
      <c r="E72" s="19"/>
      <c r="F72" s="17" t="s">
        <v>609</v>
      </c>
      <c r="G72" s="20"/>
      <c r="H72" s="19"/>
      <c r="I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</row>
    <row r="73">
      <c r="A73" s="17" t="s">
        <v>608</v>
      </c>
      <c r="B73" s="19"/>
      <c r="C73" s="19"/>
      <c r="D73" s="20"/>
      <c r="E73" s="19"/>
      <c r="F73" s="17" t="s">
        <v>616</v>
      </c>
      <c r="G73" s="20"/>
      <c r="H73" s="19"/>
      <c r="I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</row>
    <row r="74">
      <c r="A74" s="17" t="s">
        <v>550</v>
      </c>
      <c r="B74" s="19"/>
      <c r="C74" s="19"/>
      <c r="D74" s="20"/>
      <c r="E74" s="19"/>
      <c r="F74" s="17" t="s">
        <v>550</v>
      </c>
      <c r="G74" s="20"/>
      <c r="H74" s="19"/>
      <c r="I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</row>
    <row r="75">
      <c r="A75" s="17" t="s">
        <v>623</v>
      </c>
      <c r="B75" s="19"/>
      <c r="C75" s="19"/>
      <c r="D75" s="20"/>
      <c r="E75" s="19"/>
      <c r="F75" s="19"/>
      <c r="G75" s="20"/>
      <c r="H75" s="19"/>
      <c r="I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</row>
    <row r="76">
      <c r="A76" s="17" t="s">
        <v>627</v>
      </c>
      <c r="B76" s="19"/>
      <c r="C76" s="19"/>
      <c r="D76" s="20"/>
      <c r="E76" s="17" t="s">
        <v>629</v>
      </c>
      <c r="F76" s="17" t="s">
        <v>631</v>
      </c>
      <c r="G76" s="20"/>
      <c r="H76" s="19"/>
      <c r="I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</row>
    <row r="77">
      <c r="A77" s="36" t="s">
        <v>636</v>
      </c>
      <c r="B77" s="37"/>
      <c r="C77" s="37"/>
      <c r="D77" s="38" t="s">
        <v>637</v>
      </c>
      <c r="E77" s="36" t="s">
        <v>639</v>
      </c>
      <c r="F77" s="37"/>
      <c r="G77" s="39"/>
      <c r="H77" s="37"/>
      <c r="I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</row>
    <row r="78">
      <c r="A78" s="17" t="s">
        <v>556</v>
      </c>
      <c r="B78" s="19"/>
      <c r="C78" s="19"/>
      <c r="D78" s="20"/>
      <c r="E78" s="19"/>
      <c r="F78" s="17" t="s">
        <v>648</v>
      </c>
      <c r="G78" s="20"/>
      <c r="H78" s="19"/>
      <c r="I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</row>
    <row r="79">
      <c r="A79" s="17" t="s">
        <v>634</v>
      </c>
      <c r="B79" s="19"/>
      <c r="C79" s="19"/>
      <c r="D79" s="20"/>
      <c r="E79" s="19"/>
      <c r="F79" s="17" t="s">
        <v>664</v>
      </c>
      <c r="G79" s="20"/>
      <c r="H79" s="19"/>
      <c r="I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</row>
    <row r="80">
      <c r="A80" s="17" t="s">
        <v>673</v>
      </c>
      <c r="B80" s="19"/>
      <c r="C80" s="19"/>
      <c r="D80" s="20"/>
      <c r="E80" s="19"/>
      <c r="F80" s="17" t="s">
        <v>565</v>
      </c>
      <c r="G80" s="20"/>
      <c r="H80" s="19"/>
      <c r="I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</row>
    <row r="81">
      <c r="A81" s="17" t="s">
        <v>532</v>
      </c>
      <c r="B81" s="19"/>
      <c r="C81" s="19"/>
      <c r="D81" s="20"/>
      <c r="E81" s="19"/>
      <c r="F81" s="17" t="s">
        <v>534</v>
      </c>
      <c r="G81" s="20"/>
      <c r="H81" s="19"/>
      <c r="I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</row>
    <row r="82">
      <c r="A82" s="17" t="s">
        <v>575</v>
      </c>
      <c r="B82" s="19"/>
      <c r="C82" s="19"/>
      <c r="D82" s="20"/>
      <c r="E82" s="19"/>
      <c r="F82" s="17" t="s">
        <v>573</v>
      </c>
      <c r="G82" s="20"/>
      <c r="H82" s="19"/>
      <c r="I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</row>
    <row r="83">
      <c r="A83" s="36" t="s">
        <v>655</v>
      </c>
      <c r="B83" s="37"/>
      <c r="C83" s="37"/>
      <c r="D83" s="38" t="s">
        <v>696</v>
      </c>
      <c r="E83" s="36" t="s">
        <v>697</v>
      </c>
      <c r="F83" s="36" t="s">
        <v>699</v>
      </c>
      <c r="G83" s="39"/>
      <c r="H83" s="37"/>
      <c r="I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</row>
    <row r="84">
      <c r="A84" s="17" t="s">
        <v>584</v>
      </c>
      <c r="B84" s="19"/>
      <c r="C84" s="19"/>
      <c r="D84" s="20"/>
      <c r="E84" s="19"/>
      <c r="F84" s="17" t="s">
        <v>586</v>
      </c>
      <c r="G84" s="20"/>
      <c r="H84" s="19"/>
      <c r="I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</row>
    <row r="85">
      <c r="A85" s="17" t="s">
        <v>708</v>
      </c>
      <c r="B85" s="19"/>
      <c r="C85" s="19"/>
      <c r="D85" s="20"/>
      <c r="E85" s="19"/>
      <c r="F85" s="19"/>
      <c r="G85" s="20"/>
      <c r="H85" s="19"/>
      <c r="I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</row>
    <row r="86">
      <c r="A86" s="17" t="s">
        <v>714</v>
      </c>
      <c r="B86" s="17" t="s">
        <v>568</v>
      </c>
      <c r="C86" s="19"/>
      <c r="D86" s="20"/>
      <c r="E86" s="19"/>
      <c r="F86" s="17" t="s">
        <v>568</v>
      </c>
      <c r="G86" s="20"/>
      <c r="H86" s="19"/>
      <c r="I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</row>
    <row r="87">
      <c r="A87" s="17" t="s">
        <v>676</v>
      </c>
      <c r="B87" s="17" t="s">
        <v>720</v>
      </c>
      <c r="C87" s="19"/>
      <c r="D87" s="20"/>
      <c r="E87" s="19"/>
      <c r="F87" s="17" t="s">
        <v>676</v>
      </c>
      <c r="G87" s="20"/>
      <c r="H87" s="19"/>
      <c r="I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</row>
    <row r="88" ht="17.25" customHeight="1">
      <c r="A88" s="17" t="s">
        <v>726</v>
      </c>
      <c r="B88" s="19"/>
      <c r="C88" s="19"/>
      <c r="D88" s="20"/>
      <c r="E88" s="19"/>
      <c r="F88" s="17" t="s">
        <v>726</v>
      </c>
      <c r="G88" s="20"/>
      <c r="H88" s="19"/>
      <c r="I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</row>
    <row r="89">
      <c r="A89" s="17" t="s">
        <v>729</v>
      </c>
      <c r="B89" s="19"/>
      <c r="C89" s="17" t="s">
        <v>46</v>
      </c>
      <c r="D89" s="34"/>
      <c r="E89" s="17" t="s">
        <v>730</v>
      </c>
      <c r="F89" s="19"/>
      <c r="G89" s="20"/>
      <c r="H89" s="19"/>
      <c r="I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</row>
    <row r="90">
      <c r="A90" s="36" t="s">
        <v>733</v>
      </c>
      <c r="B90" s="37"/>
      <c r="C90" s="37"/>
      <c r="D90" s="38" t="s">
        <v>734</v>
      </c>
      <c r="E90" s="36" t="s">
        <v>735</v>
      </c>
      <c r="F90" s="37"/>
      <c r="G90" s="39"/>
      <c r="H90" s="37"/>
      <c r="I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</row>
    <row r="91">
      <c r="A91" s="17" t="s">
        <v>736</v>
      </c>
      <c r="B91" s="19"/>
      <c r="C91" s="19"/>
      <c r="D91" s="20"/>
      <c r="E91" s="19"/>
      <c r="F91" s="19"/>
      <c r="G91" s="20"/>
      <c r="H91" s="19"/>
      <c r="I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</row>
    <row r="92">
      <c r="A92" s="17" t="s">
        <v>737</v>
      </c>
      <c r="B92" s="19"/>
      <c r="C92" s="19"/>
      <c r="D92" s="34" t="s">
        <v>738</v>
      </c>
      <c r="E92" s="17" t="s">
        <v>739</v>
      </c>
      <c r="F92" s="17" t="s">
        <v>740</v>
      </c>
      <c r="G92" s="20"/>
      <c r="H92" s="19"/>
      <c r="I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</row>
    <row r="93">
      <c r="A93" s="17" t="s">
        <v>741</v>
      </c>
      <c r="B93" s="19"/>
      <c r="C93" s="19"/>
      <c r="D93" s="20"/>
      <c r="E93" s="19"/>
      <c r="F93" s="17" t="s">
        <v>742</v>
      </c>
      <c r="G93" s="20"/>
      <c r="H93" s="19"/>
      <c r="I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</row>
    <row r="94">
      <c r="A94" s="17" t="s">
        <v>743</v>
      </c>
      <c r="B94" s="19"/>
      <c r="C94" s="19"/>
      <c r="D94" s="20"/>
      <c r="E94" s="19"/>
      <c r="F94" s="19"/>
      <c r="G94" s="20"/>
      <c r="H94" s="19"/>
      <c r="I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</row>
    <row r="95">
      <c r="A95" s="17" t="s">
        <v>717</v>
      </c>
      <c r="B95" s="19"/>
      <c r="C95" s="19"/>
      <c r="D95" s="20"/>
      <c r="E95" s="19"/>
      <c r="F95" s="19"/>
      <c r="G95" s="20"/>
      <c r="H95" s="19"/>
      <c r="I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</row>
    <row r="96">
      <c r="A96" s="17" t="s">
        <v>600</v>
      </c>
      <c r="B96" s="19"/>
      <c r="C96" s="19"/>
      <c r="D96" s="20"/>
      <c r="E96" s="19"/>
      <c r="F96" s="17" t="s">
        <v>602</v>
      </c>
      <c r="G96" s="20"/>
      <c r="H96" s="19"/>
      <c r="I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</row>
    <row r="97">
      <c r="A97" s="17" t="s">
        <v>721</v>
      </c>
      <c r="B97" s="19"/>
      <c r="C97" s="19"/>
      <c r="D97" s="20"/>
      <c r="E97" s="17" t="s">
        <v>745</v>
      </c>
      <c r="F97" s="17" t="s">
        <v>746</v>
      </c>
      <c r="G97" s="20"/>
      <c r="H97" s="19"/>
      <c r="I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</row>
    <row r="98">
      <c r="A98" s="17" t="s">
        <v>747</v>
      </c>
      <c r="B98" s="17" t="s">
        <v>748</v>
      </c>
      <c r="C98" s="17" t="s">
        <v>46</v>
      </c>
      <c r="D98" s="20"/>
      <c r="E98" s="19"/>
      <c r="F98" s="17" t="s">
        <v>749</v>
      </c>
      <c r="G98" s="20"/>
      <c r="H98" s="19"/>
      <c r="I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</row>
    <row r="99">
      <c r="A99" s="17" t="s">
        <v>751</v>
      </c>
      <c r="B99" s="19"/>
      <c r="C99" s="19"/>
      <c r="D99" s="20"/>
      <c r="E99" s="19"/>
      <c r="F99" s="19"/>
      <c r="G99" s="20"/>
      <c r="H99" s="19"/>
      <c r="I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</row>
    <row r="100">
      <c r="A100" s="17" t="s">
        <v>727</v>
      </c>
      <c r="B100" s="19"/>
      <c r="C100" s="19"/>
      <c r="D100" s="20"/>
      <c r="E100" s="19"/>
      <c r="F100" s="19"/>
      <c r="G100" s="20"/>
      <c r="H100" s="19"/>
      <c r="I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4" max="4" width="21.57"/>
  </cols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7</v>
      </c>
      <c r="G1" s="11"/>
      <c r="H1" s="2"/>
      <c r="I1" s="14"/>
      <c r="J1" s="11"/>
      <c r="L1" s="11"/>
    </row>
    <row r="2">
      <c r="A2" s="34" t="s">
        <v>401</v>
      </c>
      <c r="B2" s="34" t="s">
        <v>12</v>
      </c>
      <c r="C2" s="20"/>
      <c r="D2" s="20"/>
      <c r="E2" s="20"/>
      <c r="F2" s="20"/>
      <c r="G2" s="20"/>
      <c r="H2" s="20"/>
    </row>
    <row r="3">
      <c r="A3" s="34" t="s">
        <v>407</v>
      </c>
      <c r="B3" s="34" t="s">
        <v>65</v>
      </c>
      <c r="C3" s="20"/>
      <c r="D3" s="20"/>
      <c r="E3" s="20"/>
      <c r="F3" s="34" t="s">
        <v>67</v>
      </c>
      <c r="G3" s="20"/>
      <c r="H3" s="20"/>
    </row>
    <row r="4">
      <c r="A4" s="34" t="s">
        <v>411</v>
      </c>
      <c r="B4" s="34" t="s">
        <v>71</v>
      </c>
      <c r="C4" s="20"/>
      <c r="D4" s="20"/>
      <c r="E4" s="20"/>
      <c r="F4" s="20"/>
      <c r="G4" s="20"/>
      <c r="H4" s="20"/>
    </row>
    <row r="5">
      <c r="A5" s="34" t="s">
        <v>414</v>
      </c>
      <c r="B5" s="34" t="s">
        <v>86</v>
      </c>
      <c r="C5" s="20"/>
      <c r="D5" s="20"/>
      <c r="E5" s="20"/>
      <c r="F5" s="20"/>
      <c r="G5" s="20"/>
      <c r="H5" s="20"/>
    </row>
    <row r="6">
      <c r="A6" s="34" t="s">
        <v>419</v>
      </c>
      <c r="B6" s="34" t="s">
        <v>145</v>
      </c>
      <c r="C6" s="20"/>
      <c r="D6" s="20"/>
      <c r="E6" s="20"/>
      <c r="F6" s="34" t="s">
        <v>148</v>
      </c>
      <c r="G6" s="20"/>
      <c r="H6" s="20"/>
    </row>
    <row r="7">
      <c r="A7" s="34" t="s">
        <v>422</v>
      </c>
      <c r="B7" s="34" t="s">
        <v>160</v>
      </c>
      <c r="C7" s="20"/>
      <c r="D7" s="20"/>
      <c r="E7" s="20"/>
      <c r="F7" s="20"/>
      <c r="G7" s="20"/>
      <c r="H7" s="20"/>
    </row>
    <row r="8">
      <c r="A8" s="34" t="s">
        <v>424</v>
      </c>
      <c r="B8" s="34" t="s">
        <v>166</v>
      </c>
      <c r="C8" s="20"/>
      <c r="D8" s="20"/>
      <c r="E8" s="20"/>
      <c r="F8" s="34" t="s">
        <v>424</v>
      </c>
      <c r="G8" s="20"/>
      <c r="H8" s="20"/>
    </row>
    <row r="9">
      <c r="A9" s="34" t="s">
        <v>206</v>
      </c>
      <c r="B9" s="34" t="s">
        <v>204</v>
      </c>
      <c r="C9" s="20"/>
      <c r="D9" s="20"/>
      <c r="E9" s="20"/>
      <c r="F9" s="34" t="s">
        <v>206</v>
      </c>
      <c r="G9" s="20"/>
      <c r="H9" s="20"/>
    </row>
    <row r="10">
      <c r="A10" s="34" t="s">
        <v>433</v>
      </c>
      <c r="B10" s="34" t="s">
        <v>434</v>
      </c>
      <c r="C10" s="20"/>
      <c r="D10" s="20"/>
      <c r="E10" s="20"/>
      <c r="F10" s="34" t="s">
        <v>437</v>
      </c>
      <c r="G10" s="20"/>
      <c r="H10" s="20"/>
    </row>
    <row r="11">
      <c r="A11" s="34" t="s">
        <v>439</v>
      </c>
      <c r="B11" s="17" t="s">
        <v>229</v>
      </c>
      <c r="C11" s="20"/>
      <c r="D11" s="20"/>
      <c r="E11" s="20"/>
      <c r="F11" s="34" t="s">
        <v>231</v>
      </c>
      <c r="G11" s="20"/>
      <c r="H11" s="20"/>
    </row>
    <row r="12">
      <c r="A12" s="34" t="s">
        <v>444</v>
      </c>
      <c r="B12" s="34" t="s">
        <v>446</v>
      </c>
      <c r="C12" s="20"/>
      <c r="D12" s="20"/>
      <c r="E12" s="20"/>
      <c r="F12" s="34" t="s">
        <v>447</v>
      </c>
      <c r="G12" s="20"/>
      <c r="H12" s="20"/>
    </row>
    <row r="13">
      <c r="A13" s="34" t="s">
        <v>450</v>
      </c>
      <c r="B13" s="34" t="s">
        <v>452</v>
      </c>
      <c r="C13" s="20"/>
      <c r="D13" s="20"/>
      <c r="E13" s="20"/>
      <c r="F13" s="34" t="s">
        <v>450</v>
      </c>
      <c r="G13" s="20"/>
      <c r="H13" s="20"/>
    </row>
    <row r="14">
      <c r="A14" s="34" t="s">
        <v>455</v>
      </c>
      <c r="B14" s="34" t="s">
        <v>256</v>
      </c>
      <c r="C14" s="20"/>
      <c r="D14" s="20"/>
      <c r="E14" s="20"/>
      <c r="F14" s="20"/>
      <c r="G14" s="20"/>
      <c r="H14" s="20"/>
    </row>
    <row r="15">
      <c r="A15" s="34" t="s">
        <v>461</v>
      </c>
      <c r="B15" s="34" t="s">
        <v>261</v>
      </c>
      <c r="C15" s="20"/>
      <c r="D15" s="20"/>
      <c r="E15" s="20"/>
      <c r="F15" s="20"/>
      <c r="G15" s="20"/>
      <c r="H15" s="20"/>
    </row>
    <row r="16">
      <c r="A16" s="34" t="s">
        <v>466</v>
      </c>
      <c r="B16" s="34" t="s">
        <v>467</v>
      </c>
      <c r="C16" s="20"/>
      <c r="D16" s="20"/>
      <c r="E16" s="20"/>
      <c r="F16" s="34" t="s">
        <v>466</v>
      </c>
      <c r="G16" s="20"/>
      <c r="H16" s="20"/>
    </row>
    <row r="17">
      <c r="A17" s="34" t="s">
        <v>471</v>
      </c>
      <c r="B17" s="34" t="s">
        <v>475</v>
      </c>
      <c r="C17" s="20"/>
      <c r="D17" s="20"/>
      <c r="E17" s="20"/>
      <c r="F17" s="34" t="s">
        <v>477</v>
      </c>
      <c r="G17" s="20"/>
      <c r="H17" s="20"/>
    </row>
    <row r="18">
      <c r="A18" s="34" t="s">
        <v>480</v>
      </c>
      <c r="B18" s="34" t="s">
        <v>341</v>
      </c>
      <c r="C18" s="20"/>
      <c r="D18" s="20"/>
      <c r="E18" s="20"/>
      <c r="F18" s="34" t="s">
        <v>483</v>
      </c>
      <c r="G18" s="20"/>
      <c r="H18" s="20"/>
    </row>
    <row r="19">
      <c r="A19" s="34" t="s">
        <v>485</v>
      </c>
      <c r="B19" s="34" t="s">
        <v>351</v>
      </c>
      <c r="C19" s="20"/>
      <c r="D19" s="20"/>
      <c r="E19" s="20"/>
      <c r="F19" s="17" t="s">
        <v>352</v>
      </c>
      <c r="G19" s="20"/>
      <c r="H19" s="20"/>
    </row>
    <row r="20">
      <c r="A20" s="34" t="s">
        <v>489</v>
      </c>
      <c r="B20" s="34" t="s">
        <v>491</v>
      </c>
      <c r="C20" s="20"/>
      <c r="D20" s="20"/>
      <c r="E20" s="34" t="s">
        <v>493</v>
      </c>
      <c r="F20" s="34" t="s">
        <v>489</v>
      </c>
      <c r="G20" s="20"/>
      <c r="H20" s="20"/>
    </row>
    <row r="21">
      <c r="A21" s="34" t="s">
        <v>500</v>
      </c>
      <c r="B21" s="34" t="s">
        <v>390</v>
      </c>
      <c r="C21" s="20"/>
      <c r="D21" s="20"/>
      <c r="E21" s="20"/>
      <c r="F21" s="20"/>
      <c r="G21" s="20"/>
      <c r="H21" s="20"/>
    </row>
    <row r="22">
      <c r="A22" s="34" t="s">
        <v>403</v>
      </c>
      <c r="B22" s="17" t="s">
        <v>285</v>
      </c>
      <c r="C22" s="20"/>
      <c r="D22" s="20"/>
      <c r="E22" s="20"/>
      <c r="F22" s="34" t="s">
        <v>403</v>
      </c>
      <c r="G22" s="20"/>
      <c r="H22" s="20"/>
    </row>
    <row r="23">
      <c r="A23" s="34" t="s">
        <v>509</v>
      </c>
      <c r="B23" s="34" t="s">
        <v>425</v>
      </c>
      <c r="C23" s="20"/>
      <c r="D23" s="20"/>
      <c r="E23" s="34" t="s">
        <v>511</v>
      </c>
      <c r="F23" s="20"/>
      <c r="G23" s="20"/>
      <c r="H23" s="20"/>
    </row>
    <row r="24">
      <c r="A24" s="34" t="s">
        <v>516</v>
      </c>
      <c r="B24" s="34" t="s">
        <v>460</v>
      </c>
      <c r="C24" s="20"/>
      <c r="D24" s="20"/>
      <c r="E24" s="20"/>
      <c r="F24" s="34" t="s">
        <v>463</v>
      </c>
      <c r="G24" s="20"/>
      <c r="H24" s="20"/>
    </row>
    <row r="25">
      <c r="A25" s="34" t="s">
        <v>442</v>
      </c>
      <c r="B25" s="34" t="s">
        <v>441</v>
      </c>
      <c r="C25" s="20"/>
      <c r="D25" s="20"/>
      <c r="E25" s="20"/>
      <c r="F25" s="34" t="s">
        <v>442</v>
      </c>
      <c r="G25" s="20"/>
      <c r="H25" s="20"/>
    </row>
    <row r="26">
      <c r="A26" s="34" t="s">
        <v>529</v>
      </c>
      <c r="B26" s="34" t="s">
        <v>532</v>
      </c>
      <c r="C26" s="20"/>
      <c r="D26" s="20"/>
      <c r="E26" s="20"/>
      <c r="F26" s="17" t="s">
        <v>534</v>
      </c>
      <c r="G26" s="20"/>
      <c r="H26" s="20"/>
    </row>
    <row r="27">
      <c r="A27" s="34" t="s">
        <v>537</v>
      </c>
      <c r="B27" s="34" t="s">
        <v>512</v>
      </c>
      <c r="C27" s="20"/>
      <c r="D27" s="20"/>
      <c r="E27" s="20"/>
      <c r="F27" s="34" t="s">
        <v>515</v>
      </c>
      <c r="G27" s="20"/>
      <c r="H27" s="20"/>
    </row>
    <row r="28">
      <c r="A28" s="34" t="s">
        <v>541</v>
      </c>
      <c r="B28" s="34" t="s">
        <v>542</v>
      </c>
      <c r="C28" s="20"/>
      <c r="D28" s="20"/>
      <c r="E28" s="20"/>
      <c r="F28" s="34" t="s">
        <v>541</v>
      </c>
      <c r="G28" s="20"/>
      <c r="H28" s="20"/>
    </row>
    <row r="29">
      <c r="A29" s="34" t="s">
        <v>545</v>
      </c>
      <c r="B29" s="56" t="s">
        <v>546</v>
      </c>
      <c r="C29" s="20"/>
      <c r="D29" s="20"/>
      <c r="E29" s="20"/>
      <c r="F29" s="20"/>
      <c r="G29" s="20"/>
      <c r="H29" s="20"/>
    </row>
    <row r="30">
      <c r="A30" s="34" t="s">
        <v>548</v>
      </c>
      <c r="B30" s="34" t="s">
        <v>550</v>
      </c>
      <c r="C30" s="20"/>
      <c r="D30" s="20"/>
      <c r="E30" s="20"/>
      <c r="F30" s="34" t="s">
        <v>550</v>
      </c>
      <c r="G30" s="20"/>
      <c r="H30" s="20"/>
    </row>
    <row r="31">
      <c r="A31" s="34" t="s">
        <v>554</v>
      </c>
      <c r="B31" s="34" t="s">
        <v>556</v>
      </c>
      <c r="C31" s="20"/>
      <c r="D31" s="20"/>
      <c r="E31" s="20"/>
      <c r="F31" s="34" t="s">
        <v>556</v>
      </c>
      <c r="G31" s="20"/>
      <c r="H31" s="20"/>
    </row>
    <row r="32">
      <c r="A32" s="34" t="s">
        <v>562</v>
      </c>
      <c r="B32" s="34" t="s">
        <v>563</v>
      </c>
      <c r="C32" s="20"/>
      <c r="D32" s="20"/>
      <c r="E32" s="20"/>
      <c r="F32" s="34" t="s">
        <v>565</v>
      </c>
      <c r="G32" s="20"/>
      <c r="H32" s="20"/>
    </row>
    <row r="33">
      <c r="A33" s="34" t="s">
        <v>568</v>
      </c>
      <c r="B33" s="34" t="s">
        <v>568</v>
      </c>
      <c r="C33" s="20"/>
      <c r="D33" s="20"/>
      <c r="E33" s="20"/>
      <c r="F33" s="34" t="s">
        <v>568</v>
      </c>
      <c r="G33" s="20"/>
      <c r="H33" s="20"/>
    </row>
    <row r="34">
      <c r="A34" s="34" t="s">
        <v>573</v>
      </c>
      <c r="B34" s="34" t="s">
        <v>575</v>
      </c>
      <c r="C34" s="20"/>
      <c r="D34" s="20"/>
      <c r="E34" s="20"/>
      <c r="F34" s="34" t="s">
        <v>573</v>
      </c>
      <c r="G34" s="20"/>
      <c r="H34" s="20"/>
    </row>
    <row r="35">
      <c r="A35" s="34" t="s">
        <v>582</v>
      </c>
      <c r="B35" s="34" t="s">
        <v>584</v>
      </c>
      <c r="C35" s="20"/>
      <c r="D35" s="20"/>
      <c r="E35" s="20"/>
      <c r="F35" s="34" t="s">
        <v>586</v>
      </c>
      <c r="G35" s="20"/>
      <c r="H35" s="20"/>
    </row>
    <row r="36">
      <c r="A36" s="34" t="s">
        <v>589</v>
      </c>
      <c r="B36" s="34" t="s">
        <v>591</v>
      </c>
      <c r="C36" s="20"/>
      <c r="D36" s="20"/>
      <c r="E36" s="20"/>
      <c r="F36" s="20"/>
      <c r="G36" s="20"/>
      <c r="H36" s="20"/>
    </row>
    <row r="37">
      <c r="A37" s="34" t="s">
        <v>595</v>
      </c>
      <c r="B37" s="34" t="s">
        <v>596</v>
      </c>
      <c r="C37" s="20"/>
      <c r="D37" s="20"/>
      <c r="E37" s="20"/>
      <c r="F37" s="20"/>
      <c r="G37" s="20"/>
      <c r="H37" s="20"/>
    </row>
    <row r="38">
      <c r="A38" s="34" t="s">
        <v>598</v>
      </c>
      <c r="B38" s="34" t="s">
        <v>600</v>
      </c>
      <c r="C38" s="20"/>
      <c r="D38" s="20"/>
      <c r="E38" s="20"/>
      <c r="F38" s="34" t="s">
        <v>602</v>
      </c>
      <c r="G38" s="20"/>
      <c r="H38" s="20"/>
    </row>
    <row r="39">
      <c r="A39" s="45" t="s">
        <v>605</v>
      </c>
      <c r="B39" s="45" t="s">
        <v>143</v>
      </c>
      <c r="C39" s="49"/>
      <c r="D39" s="47" t="s">
        <v>147</v>
      </c>
      <c r="E39" s="45" t="s">
        <v>151</v>
      </c>
      <c r="F39" s="45" t="s">
        <v>154</v>
      </c>
      <c r="G39" s="49"/>
      <c r="H39" s="4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1" max="1" width="20.14"/>
    <col customWidth="1" min="3" max="3" width="40.57"/>
    <col customWidth="1" min="4" max="4" width="46.29"/>
    <col customWidth="1" min="5" max="5" width="21.57"/>
    <col customWidth="1" min="6" max="6" width="22.71"/>
  </cols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8</v>
      </c>
      <c r="G1" s="14" t="s">
        <v>9</v>
      </c>
      <c r="H1" s="2" t="s">
        <v>10</v>
      </c>
      <c r="I1" s="14"/>
      <c r="J1" s="11"/>
      <c r="L1" s="11"/>
    </row>
    <row r="2">
      <c r="A2" s="2" t="s">
        <v>759</v>
      </c>
      <c r="D2" s="45" t="s">
        <v>760</v>
      </c>
      <c r="E2" s="2" t="s">
        <v>761</v>
      </c>
      <c r="G2" s="2" t="s">
        <v>759</v>
      </c>
      <c r="H2" s="2" t="s">
        <v>762</v>
      </c>
    </row>
    <row r="3">
      <c r="A3" s="84" t="s">
        <v>763</v>
      </c>
      <c r="B3" s="84" t="s">
        <v>764</v>
      </c>
      <c r="C3" s="85"/>
      <c r="D3" s="84" t="s">
        <v>767</v>
      </c>
      <c r="E3" s="85"/>
      <c r="F3" s="85"/>
      <c r="G3" s="84" t="s">
        <v>763</v>
      </c>
      <c r="H3" s="84" t="s">
        <v>769</v>
      </c>
      <c r="I3" s="84" t="s">
        <v>770</v>
      </c>
      <c r="J3" s="85"/>
    </row>
    <row r="4">
      <c r="A4" s="2" t="s">
        <v>772</v>
      </c>
      <c r="D4" s="86"/>
      <c r="E4" s="2" t="s">
        <v>773</v>
      </c>
      <c r="G4" s="2" t="s">
        <v>772</v>
      </c>
      <c r="I4" s="2" t="s">
        <v>774</v>
      </c>
    </row>
    <row r="5">
      <c r="A5" s="2" t="s">
        <v>775</v>
      </c>
      <c r="D5" s="45" t="s">
        <v>776</v>
      </c>
      <c r="E5" s="2" t="s">
        <v>777</v>
      </c>
      <c r="G5" s="2" t="s">
        <v>775</v>
      </c>
      <c r="H5" s="2" t="s">
        <v>778</v>
      </c>
      <c r="I5" s="2" t="s">
        <v>779</v>
      </c>
    </row>
    <row r="6">
      <c r="A6" s="2" t="s">
        <v>781</v>
      </c>
      <c r="D6" s="45" t="s">
        <v>776</v>
      </c>
      <c r="E6" s="2" t="s">
        <v>782</v>
      </c>
      <c r="H6" s="2" t="s">
        <v>769</v>
      </c>
    </row>
    <row r="7">
      <c r="A7" s="34" t="s">
        <v>784</v>
      </c>
      <c r="B7" s="34" t="s">
        <v>234</v>
      </c>
      <c r="C7" s="34" t="s">
        <v>46</v>
      </c>
      <c r="D7" s="20"/>
      <c r="E7" s="34" t="s">
        <v>785</v>
      </c>
      <c r="F7" s="20"/>
      <c r="G7" s="34" t="s">
        <v>234</v>
      </c>
      <c r="H7" s="20"/>
      <c r="I7" s="20"/>
      <c r="J7" s="20"/>
    </row>
    <row r="8">
      <c r="A8" s="2" t="s">
        <v>787</v>
      </c>
      <c r="E8" s="2" t="s">
        <v>789</v>
      </c>
      <c r="H8" s="2" t="s">
        <v>790</v>
      </c>
    </row>
    <row r="9">
      <c r="A9" s="2" t="s">
        <v>792</v>
      </c>
      <c r="D9" s="45" t="s">
        <v>793</v>
      </c>
      <c r="E9" s="2" t="s">
        <v>794</v>
      </c>
    </row>
    <row r="10">
      <c r="A10" s="34" t="s">
        <v>244</v>
      </c>
      <c r="B10" s="34"/>
      <c r="C10" s="34" t="s">
        <v>46</v>
      </c>
      <c r="D10" s="17" t="s">
        <v>795</v>
      </c>
      <c r="E10" s="34" t="s">
        <v>796</v>
      </c>
      <c r="F10" s="20"/>
      <c r="G10" s="34" t="s">
        <v>797</v>
      </c>
      <c r="H10" s="34" t="s">
        <v>798</v>
      </c>
      <c r="I10" s="20"/>
      <c r="J10" s="20"/>
    </row>
    <row r="11">
      <c r="A11" s="2" t="s">
        <v>801</v>
      </c>
      <c r="D11" s="2" t="s">
        <v>803</v>
      </c>
      <c r="E11" s="2" t="s">
        <v>804</v>
      </c>
    </row>
    <row r="12">
      <c r="A12" s="2" t="s">
        <v>805</v>
      </c>
      <c r="D12" s="45" t="s">
        <v>776</v>
      </c>
      <c r="E12" s="2" t="s">
        <v>806</v>
      </c>
      <c r="G12" s="2" t="s">
        <v>807</v>
      </c>
      <c r="H12" s="2" t="s">
        <v>778</v>
      </c>
    </row>
    <row r="13">
      <c r="A13" s="34" t="s">
        <v>74</v>
      </c>
      <c r="B13" s="20"/>
      <c r="C13" s="34" t="s">
        <v>216</v>
      </c>
      <c r="D13" s="34" t="s">
        <v>808</v>
      </c>
      <c r="E13" s="34" t="s">
        <v>809</v>
      </c>
      <c r="F13" s="20"/>
      <c r="G13" s="34" t="s">
        <v>74</v>
      </c>
      <c r="H13" s="34" t="s">
        <v>762</v>
      </c>
      <c r="I13" s="20"/>
      <c r="J13" s="20"/>
    </row>
    <row r="14">
      <c r="A14" s="34" t="s">
        <v>812</v>
      </c>
      <c r="B14" s="20"/>
      <c r="C14" s="34" t="s">
        <v>216</v>
      </c>
      <c r="D14" s="34" t="s">
        <v>814</v>
      </c>
      <c r="E14" s="34" t="s">
        <v>816</v>
      </c>
      <c r="F14" s="20"/>
      <c r="G14" s="20"/>
      <c r="H14" s="34" t="s">
        <v>790</v>
      </c>
      <c r="I14" s="34" t="s">
        <v>818</v>
      </c>
      <c r="J14" s="20"/>
    </row>
    <row r="15">
      <c r="A15" s="34" t="s">
        <v>820</v>
      </c>
      <c r="B15" s="20"/>
      <c r="C15" s="34" t="s">
        <v>46</v>
      </c>
      <c r="D15" s="34" t="s">
        <v>46</v>
      </c>
      <c r="E15" s="20"/>
      <c r="F15" s="20"/>
      <c r="G15" s="34" t="s">
        <v>820</v>
      </c>
      <c r="H15" s="34" t="s">
        <v>762</v>
      </c>
      <c r="I15" s="20"/>
      <c r="J15" s="20"/>
    </row>
    <row r="16">
      <c r="A16" s="34" t="s">
        <v>124</v>
      </c>
      <c r="B16" s="20"/>
      <c r="C16" s="34" t="s">
        <v>46</v>
      </c>
      <c r="D16" s="34" t="s">
        <v>46</v>
      </c>
      <c r="E16" s="34" t="s">
        <v>825</v>
      </c>
      <c r="F16" s="20"/>
      <c r="G16" s="20"/>
      <c r="H16" s="34" t="s">
        <v>827</v>
      </c>
      <c r="I16" s="20"/>
      <c r="J16" s="20"/>
    </row>
    <row r="17">
      <c r="A17" s="34" t="s">
        <v>829</v>
      </c>
      <c r="B17" s="20"/>
      <c r="C17" s="34" t="s">
        <v>216</v>
      </c>
      <c r="D17" s="34" t="s">
        <v>814</v>
      </c>
      <c r="E17" s="34" t="s">
        <v>832</v>
      </c>
      <c r="F17" s="20"/>
      <c r="G17" s="20"/>
      <c r="H17" s="34" t="s">
        <v>778</v>
      </c>
      <c r="I17" s="20"/>
      <c r="J17" s="20"/>
    </row>
    <row r="18">
      <c r="A18" s="34" t="s">
        <v>834</v>
      </c>
      <c r="B18" s="20"/>
      <c r="C18" s="34" t="s">
        <v>46</v>
      </c>
      <c r="D18" s="34" t="s">
        <v>836</v>
      </c>
      <c r="E18" s="34" t="s">
        <v>838</v>
      </c>
      <c r="F18" s="20"/>
      <c r="G18" s="20"/>
      <c r="H18" s="20"/>
      <c r="I18" s="20"/>
      <c r="J18" s="20"/>
    </row>
    <row r="19">
      <c r="A19" s="34" t="s">
        <v>159</v>
      </c>
      <c r="B19" s="20"/>
      <c r="C19" s="34" t="s">
        <v>216</v>
      </c>
      <c r="D19" s="34" t="s">
        <v>841</v>
      </c>
      <c r="E19" s="34" t="s">
        <v>843</v>
      </c>
      <c r="F19" s="20"/>
      <c r="G19" s="34" t="s">
        <v>844</v>
      </c>
      <c r="H19" s="34" t="s">
        <v>845</v>
      </c>
      <c r="I19" s="20"/>
      <c r="J19" s="20"/>
    </row>
    <row r="20">
      <c r="A20" s="84" t="s">
        <v>847</v>
      </c>
      <c r="B20" s="85"/>
      <c r="C20" s="84"/>
      <c r="D20" s="84" t="s">
        <v>848</v>
      </c>
      <c r="E20" s="85"/>
      <c r="F20" s="85"/>
      <c r="G20" s="84" t="s">
        <v>847</v>
      </c>
      <c r="H20" s="85"/>
      <c r="I20" s="85"/>
      <c r="J20" s="85"/>
    </row>
    <row r="21">
      <c r="A21" s="84" t="s">
        <v>850</v>
      </c>
      <c r="B21" s="84" t="s">
        <v>764</v>
      </c>
      <c r="C21" s="85"/>
      <c r="D21" s="84" t="s">
        <v>852</v>
      </c>
      <c r="E21" s="85"/>
      <c r="F21" s="85"/>
      <c r="G21" s="84" t="s">
        <v>850</v>
      </c>
      <c r="H21" s="84" t="s">
        <v>778</v>
      </c>
      <c r="I21" s="84" t="s">
        <v>854</v>
      </c>
      <c r="J21" s="85"/>
    </row>
    <row r="22">
      <c r="A22" s="2" t="s">
        <v>857</v>
      </c>
      <c r="E22" s="2" t="s">
        <v>859</v>
      </c>
      <c r="G22" s="2" t="s">
        <v>857</v>
      </c>
      <c r="I22" s="2" t="s">
        <v>861</v>
      </c>
    </row>
    <row r="23">
      <c r="A23" s="2" t="s">
        <v>862</v>
      </c>
      <c r="D23" s="2" t="s">
        <v>864</v>
      </c>
      <c r="E23" s="2" t="s">
        <v>867</v>
      </c>
      <c r="G23" s="2" t="s">
        <v>869</v>
      </c>
      <c r="I23" s="2" t="s">
        <v>870</v>
      </c>
    </row>
    <row r="24">
      <c r="A24" s="84" t="s">
        <v>871</v>
      </c>
      <c r="B24" s="85"/>
      <c r="C24" s="85"/>
      <c r="D24" s="84" t="s">
        <v>872</v>
      </c>
      <c r="E24" s="85"/>
      <c r="F24" s="84" t="s">
        <v>873</v>
      </c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  <c r="AA24" s="85"/>
      <c r="AB24" s="85"/>
      <c r="AC24" s="85"/>
      <c r="AD24" s="85"/>
    </row>
    <row r="25">
      <c r="A25" s="34" t="s">
        <v>206</v>
      </c>
      <c r="B25" s="20"/>
      <c r="C25" s="34" t="s">
        <v>46</v>
      </c>
      <c r="D25" s="20"/>
      <c r="E25" s="34" t="s">
        <v>212</v>
      </c>
      <c r="F25" s="20"/>
      <c r="G25" s="34" t="s">
        <v>204</v>
      </c>
      <c r="H25" s="20"/>
      <c r="I25" s="20"/>
      <c r="J25" s="20"/>
    </row>
    <row r="26">
      <c r="A26" s="34" t="s">
        <v>874</v>
      </c>
      <c r="B26" s="20"/>
      <c r="C26" s="34" t="s">
        <v>46</v>
      </c>
      <c r="D26" s="20"/>
      <c r="E26" s="20"/>
      <c r="F26" s="34" t="s">
        <v>877</v>
      </c>
      <c r="G26" s="34" t="s">
        <v>879</v>
      </c>
      <c r="H26" s="34" t="s">
        <v>790</v>
      </c>
      <c r="I26" s="20"/>
      <c r="J26" s="20"/>
    </row>
    <row r="27">
      <c r="A27" s="2" t="s">
        <v>880</v>
      </c>
      <c r="D27" s="2" t="s">
        <v>881</v>
      </c>
      <c r="E27" s="13" t="s">
        <v>882</v>
      </c>
      <c r="G27" s="2" t="s">
        <v>880</v>
      </c>
    </row>
    <row r="28">
      <c r="A28" s="2" t="s">
        <v>884</v>
      </c>
      <c r="E28" s="13" t="s">
        <v>885</v>
      </c>
    </row>
    <row r="29">
      <c r="A29" s="34" t="s">
        <v>886</v>
      </c>
      <c r="B29" s="20"/>
      <c r="C29" s="34" t="s">
        <v>887</v>
      </c>
      <c r="D29" s="34" t="s">
        <v>814</v>
      </c>
      <c r="E29" s="34" t="s">
        <v>888</v>
      </c>
      <c r="F29" s="20"/>
      <c r="G29" s="34" t="s">
        <v>886</v>
      </c>
      <c r="H29" s="34" t="s">
        <v>778</v>
      </c>
      <c r="I29" s="20"/>
      <c r="J29" s="20"/>
    </row>
    <row r="30">
      <c r="A30" s="34" t="s">
        <v>891</v>
      </c>
      <c r="B30" s="20"/>
      <c r="C30" s="20"/>
      <c r="D30" s="34" t="s">
        <v>892</v>
      </c>
      <c r="E30" s="34" t="s">
        <v>893</v>
      </c>
      <c r="F30" s="34" t="s">
        <v>894</v>
      </c>
      <c r="G30" s="34" t="s">
        <v>891</v>
      </c>
      <c r="H30" s="20"/>
      <c r="I30" s="20"/>
      <c r="J30" s="20"/>
    </row>
    <row r="31">
      <c r="A31" s="2" t="s">
        <v>895</v>
      </c>
      <c r="D31" s="90" t="s">
        <v>896</v>
      </c>
      <c r="E31" s="2" t="s">
        <v>897</v>
      </c>
      <c r="H31" s="2" t="s">
        <v>790</v>
      </c>
    </row>
    <row r="32">
      <c r="A32" s="2" t="s">
        <v>899</v>
      </c>
      <c r="D32" s="45" t="s">
        <v>900</v>
      </c>
      <c r="E32" s="2" t="s">
        <v>901</v>
      </c>
    </row>
    <row r="33">
      <c r="A33" s="2" t="s">
        <v>903</v>
      </c>
      <c r="D33" s="86"/>
      <c r="E33" s="2" t="s">
        <v>904</v>
      </c>
      <c r="G33" s="2" t="s">
        <v>903</v>
      </c>
      <c r="H33" s="2" t="s">
        <v>905</v>
      </c>
      <c r="I33" s="2" t="s">
        <v>906</v>
      </c>
      <c r="N33" s="2" t="s">
        <v>907</v>
      </c>
    </row>
    <row r="34">
      <c r="A34" s="34" t="s">
        <v>908</v>
      </c>
      <c r="B34" s="20"/>
      <c r="C34" s="34" t="s">
        <v>46</v>
      </c>
      <c r="D34" s="34" t="s">
        <v>911</v>
      </c>
      <c r="E34" s="34" t="s">
        <v>913</v>
      </c>
      <c r="F34" s="20"/>
      <c r="G34" s="20"/>
      <c r="H34" s="20"/>
      <c r="I34" s="20"/>
      <c r="J34" s="20"/>
    </row>
    <row r="35">
      <c r="A35" s="34" t="s">
        <v>914</v>
      </c>
      <c r="B35" s="20"/>
      <c r="C35" s="34" t="s">
        <v>46</v>
      </c>
      <c r="D35" s="17" t="s">
        <v>795</v>
      </c>
      <c r="E35" s="34" t="s">
        <v>916</v>
      </c>
      <c r="F35" s="20"/>
      <c r="G35" s="34" t="s">
        <v>917</v>
      </c>
      <c r="H35" s="34" t="s">
        <v>762</v>
      </c>
      <c r="I35" s="34" t="s">
        <v>919</v>
      </c>
      <c r="J35" s="20"/>
    </row>
    <row r="36">
      <c r="A36" s="19" t="s">
        <v>898</v>
      </c>
      <c r="B36" s="20"/>
      <c r="C36" s="20"/>
      <c r="D36" s="17" t="s">
        <v>920</v>
      </c>
      <c r="E36" s="34" t="s">
        <v>902</v>
      </c>
      <c r="F36" s="34" t="s">
        <v>921</v>
      </c>
      <c r="G36" s="34" t="s">
        <v>922</v>
      </c>
      <c r="H36" s="34" t="s">
        <v>923</v>
      </c>
      <c r="I36" s="20"/>
      <c r="J36" s="20"/>
    </row>
    <row r="37">
      <c r="A37" s="2" t="s">
        <v>924</v>
      </c>
      <c r="D37" s="2"/>
      <c r="E37" s="2" t="s">
        <v>925</v>
      </c>
      <c r="H37" s="2" t="s">
        <v>926</v>
      </c>
      <c r="I37" s="2" t="s">
        <v>927</v>
      </c>
    </row>
    <row r="38">
      <c r="A38" s="34" t="s">
        <v>928</v>
      </c>
      <c r="B38" s="20"/>
      <c r="C38" s="34" t="s">
        <v>46</v>
      </c>
      <c r="D38" s="17" t="s">
        <v>795</v>
      </c>
      <c r="E38" s="34" t="s">
        <v>930</v>
      </c>
      <c r="F38" s="20"/>
      <c r="G38" s="20"/>
      <c r="H38" s="34" t="s">
        <v>798</v>
      </c>
      <c r="I38" s="20"/>
      <c r="J38" s="20"/>
    </row>
    <row r="39">
      <c r="A39" s="34" t="s">
        <v>931</v>
      </c>
      <c r="B39" s="20"/>
      <c r="C39" s="34" t="s">
        <v>46</v>
      </c>
      <c r="D39" s="34" t="s">
        <v>932</v>
      </c>
      <c r="E39" s="34" t="s">
        <v>934</v>
      </c>
      <c r="F39" s="34" t="s">
        <v>935</v>
      </c>
      <c r="G39" s="20"/>
      <c r="H39" s="34" t="s">
        <v>778</v>
      </c>
      <c r="I39" s="20"/>
      <c r="J39" s="20"/>
    </row>
    <row r="40">
      <c r="A40" s="34" t="s">
        <v>936</v>
      </c>
      <c r="B40" s="20"/>
      <c r="C40" s="34" t="s">
        <v>216</v>
      </c>
      <c r="D40" s="34" t="s">
        <v>937</v>
      </c>
      <c r="E40" s="20"/>
      <c r="F40" s="34"/>
      <c r="G40" s="20"/>
      <c r="H40" s="34"/>
      <c r="I40" s="20"/>
      <c r="J40" s="20"/>
      <c r="K40" s="2"/>
    </row>
    <row r="41">
      <c r="A41" s="34" t="s">
        <v>938</v>
      </c>
      <c r="B41" s="91"/>
      <c r="C41" s="34" t="s">
        <v>939</v>
      </c>
      <c r="D41" s="90" t="s">
        <v>896</v>
      </c>
      <c r="E41" s="34" t="s">
        <v>940</v>
      </c>
      <c r="F41" s="20"/>
      <c r="G41" s="20"/>
      <c r="H41" s="34" t="s">
        <v>941</v>
      </c>
      <c r="I41" s="20"/>
      <c r="J41" s="20"/>
    </row>
    <row r="42">
      <c r="A42" s="34" t="s">
        <v>296</v>
      </c>
      <c r="B42" s="20"/>
      <c r="C42" s="34" t="s">
        <v>46</v>
      </c>
      <c r="D42" s="20"/>
      <c r="E42" s="20"/>
      <c r="F42" s="20"/>
      <c r="G42" s="34" t="s">
        <v>295</v>
      </c>
      <c r="H42" s="20"/>
      <c r="I42" s="20"/>
      <c r="J42" s="20"/>
    </row>
    <row r="43">
      <c r="A43" s="34" t="s">
        <v>943</v>
      </c>
      <c r="B43" s="20"/>
      <c r="C43" s="34" t="s">
        <v>46</v>
      </c>
      <c r="D43" s="34" t="s">
        <v>945</v>
      </c>
      <c r="E43" s="20"/>
      <c r="F43" s="20"/>
      <c r="G43" s="34" t="s">
        <v>946</v>
      </c>
      <c r="H43" s="20"/>
      <c r="I43" s="20"/>
      <c r="J43" s="20"/>
    </row>
    <row r="44">
      <c r="A44" s="2" t="s">
        <v>947</v>
      </c>
      <c r="D44" s="90" t="s">
        <v>948</v>
      </c>
      <c r="E44" s="2" t="s">
        <v>950</v>
      </c>
      <c r="G44" s="2" t="s">
        <v>951</v>
      </c>
      <c r="H44" s="2" t="s">
        <v>762</v>
      </c>
    </row>
    <row r="45">
      <c r="A45" s="34" t="s">
        <v>952</v>
      </c>
      <c r="B45" s="20"/>
      <c r="C45" s="20"/>
      <c r="D45" s="34" t="s">
        <v>776</v>
      </c>
      <c r="E45" s="34" t="s">
        <v>953</v>
      </c>
      <c r="F45" s="20"/>
      <c r="G45" s="20"/>
      <c r="H45" s="34" t="s">
        <v>778</v>
      </c>
      <c r="I45" s="20"/>
      <c r="J45" s="20"/>
    </row>
    <row r="46">
      <c r="A46" s="2" t="s">
        <v>955</v>
      </c>
      <c r="E46" s="2" t="s">
        <v>958</v>
      </c>
      <c r="H46" s="2" t="s">
        <v>959</v>
      </c>
      <c r="I46" s="2" t="s">
        <v>960</v>
      </c>
    </row>
    <row r="47">
      <c r="A47" s="34" t="s">
        <v>961</v>
      </c>
      <c r="B47" s="20"/>
      <c r="C47" s="20"/>
      <c r="D47" s="34" t="s">
        <v>962</v>
      </c>
      <c r="E47" s="34" t="s">
        <v>963</v>
      </c>
      <c r="F47" s="20"/>
      <c r="G47" s="20"/>
      <c r="H47" s="34" t="s">
        <v>790</v>
      </c>
      <c r="I47" s="34" t="s">
        <v>965</v>
      </c>
      <c r="J47" s="20"/>
    </row>
    <row r="48">
      <c r="A48" s="34" t="s">
        <v>967</v>
      </c>
      <c r="B48" s="20"/>
      <c r="C48" s="34" t="s">
        <v>216</v>
      </c>
      <c r="D48" s="34" t="s">
        <v>968</v>
      </c>
      <c r="E48" s="34" t="s">
        <v>969</v>
      </c>
      <c r="F48" s="20"/>
      <c r="G48" s="20"/>
      <c r="H48" s="34" t="s">
        <v>970</v>
      </c>
      <c r="I48" s="20"/>
      <c r="J48" s="20"/>
    </row>
    <row r="49">
      <c r="A49" s="34" t="s">
        <v>971</v>
      </c>
      <c r="B49" s="20"/>
      <c r="C49" s="20"/>
      <c r="D49" s="34" t="s">
        <v>972</v>
      </c>
      <c r="E49" s="34" t="s">
        <v>974</v>
      </c>
      <c r="F49" s="20"/>
      <c r="G49" s="20"/>
      <c r="H49" s="34" t="s">
        <v>790</v>
      </c>
      <c r="I49" s="20"/>
      <c r="J49" s="20"/>
    </row>
    <row r="50">
      <c r="A50" s="2" t="s">
        <v>976</v>
      </c>
      <c r="D50" s="2" t="s">
        <v>852</v>
      </c>
      <c r="E50" s="2" t="s">
        <v>977</v>
      </c>
      <c r="G50" s="2" t="s">
        <v>976</v>
      </c>
      <c r="H50" s="2" t="s">
        <v>778</v>
      </c>
      <c r="I50" s="2" t="s">
        <v>978</v>
      </c>
    </row>
    <row r="51">
      <c r="A51" s="34" t="s">
        <v>982</v>
      </c>
      <c r="B51" s="20"/>
      <c r="C51" s="34" t="s">
        <v>216</v>
      </c>
      <c r="D51" s="34" t="s">
        <v>814</v>
      </c>
      <c r="E51" s="34" t="s">
        <v>983</v>
      </c>
      <c r="F51" s="20"/>
      <c r="G51" s="20"/>
      <c r="H51" s="34" t="s">
        <v>778</v>
      </c>
      <c r="I51" s="34" t="s">
        <v>984</v>
      </c>
      <c r="J51" s="20"/>
    </row>
    <row r="52">
      <c r="A52" s="34" t="s">
        <v>985</v>
      </c>
      <c r="B52" s="20"/>
      <c r="C52" s="34" t="s">
        <v>46</v>
      </c>
      <c r="D52" s="20"/>
      <c r="E52" s="34" t="s">
        <v>987</v>
      </c>
      <c r="F52" s="20"/>
      <c r="G52" s="20"/>
      <c r="H52" s="34" t="s">
        <v>762</v>
      </c>
      <c r="I52" s="20"/>
      <c r="J52" s="20"/>
    </row>
    <row r="53">
      <c r="A53" s="34" t="s">
        <v>988</v>
      </c>
      <c r="B53" s="20"/>
      <c r="C53" s="34" t="s">
        <v>216</v>
      </c>
      <c r="D53" s="34" t="s">
        <v>989</v>
      </c>
      <c r="E53" s="20"/>
      <c r="F53" s="20"/>
      <c r="G53" s="34" t="s">
        <v>990</v>
      </c>
      <c r="H53" s="34" t="s">
        <v>778</v>
      </c>
      <c r="I53" s="20"/>
      <c r="J53" s="20"/>
    </row>
    <row r="54">
      <c r="A54" s="45" t="s">
        <v>991</v>
      </c>
      <c r="B54" s="49"/>
      <c r="C54" s="49"/>
      <c r="D54" s="45" t="s">
        <v>760</v>
      </c>
      <c r="E54" s="45" t="s">
        <v>992</v>
      </c>
      <c r="F54" s="49"/>
      <c r="G54" s="45" t="s">
        <v>991</v>
      </c>
      <c r="H54" s="45" t="s">
        <v>762</v>
      </c>
      <c r="I54" s="49"/>
      <c r="J54" s="49"/>
    </row>
    <row r="55">
      <c r="A55" s="34" t="s">
        <v>994</v>
      </c>
      <c r="B55" s="20"/>
      <c r="C55" s="34" t="s">
        <v>216</v>
      </c>
      <c r="D55" s="34" t="s">
        <v>996</v>
      </c>
      <c r="E55" s="34" t="s">
        <v>997</v>
      </c>
      <c r="F55" s="20"/>
      <c r="G55" s="20"/>
      <c r="H55" s="34" t="s">
        <v>762</v>
      </c>
      <c r="I55" s="20"/>
      <c r="J55" s="20"/>
    </row>
    <row r="56">
      <c r="A56" s="34" t="s">
        <v>1000</v>
      </c>
      <c r="B56" s="20"/>
      <c r="C56" s="34" t="s">
        <v>216</v>
      </c>
      <c r="D56" s="20"/>
      <c r="E56" s="34" t="s">
        <v>1001</v>
      </c>
      <c r="F56" s="20"/>
      <c r="G56" s="34" t="s">
        <v>1002</v>
      </c>
      <c r="H56" s="20"/>
      <c r="I56" s="34" t="s">
        <v>1003</v>
      </c>
      <c r="J56" s="20"/>
    </row>
    <row r="57">
      <c r="A57" s="34" t="s">
        <v>1005</v>
      </c>
      <c r="B57" s="20"/>
      <c r="C57" s="34" t="s">
        <v>216</v>
      </c>
      <c r="D57" s="34" t="s">
        <v>1006</v>
      </c>
      <c r="E57" s="34" t="s">
        <v>1007</v>
      </c>
      <c r="F57" s="20"/>
      <c r="G57" s="34" t="s">
        <v>1008</v>
      </c>
      <c r="H57" s="34" t="s">
        <v>1009</v>
      </c>
      <c r="I57" s="20"/>
      <c r="J57" s="20"/>
    </row>
    <row r="58">
      <c r="A58" s="34" t="s">
        <v>1010</v>
      </c>
      <c r="B58" s="20"/>
      <c r="C58" s="34" t="s">
        <v>46</v>
      </c>
      <c r="D58" s="34" t="s">
        <v>793</v>
      </c>
      <c r="E58" s="34" t="s">
        <v>1011</v>
      </c>
      <c r="F58" s="20"/>
      <c r="G58" s="34" t="s">
        <v>1010</v>
      </c>
      <c r="H58" s="20"/>
      <c r="I58" s="20"/>
      <c r="J58" s="20"/>
    </row>
    <row r="59">
      <c r="A59" s="34" t="s">
        <v>1014</v>
      </c>
      <c r="B59" s="20"/>
      <c r="C59" s="34" t="s">
        <v>46</v>
      </c>
      <c r="D59" s="17" t="s">
        <v>795</v>
      </c>
      <c r="E59" s="34" t="s">
        <v>1015</v>
      </c>
      <c r="F59" s="20"/>
      <c r="G59" s="34" t="s">
        <v>1016</v>
      </c>
      <c r="H59" s="34" t="s">
        <v>798</v>
      </c>
      <c r="I59" s="20"/>
      <c r="J59" s="20"/>
    </row>
    <row r="60">
      <c r="A60" s="34" t="s">
        <v>1017</v>
      </c>
      <c r="B60" s="20"/>
      <c r="C60" s="34" t="s">
        <v>46</v>
      </c>
      <c r="D60" s="34" t="s">
        <v>1018</v>
      </c>
      <c r="E60" s="34" t="s">
        <v>1019</v>
      </c>
      <c r="F60" s="20"/>
      <c r="G60" s="20"/>
      <c r="H60" s="34" t="s">
        <v>762</v>
      </c>
      <c r="I60" s="20"/>
      <c r="J60" s="20"/>
    </row>
    <row r="61">
      <c r="A61" s="34" t="s">
        <v>1021</v>
      </c>
      <c r="B61" s="20"/>
      <c r="C61" s="34" t="s">
        <v>46</v>
      </c>
      <c r="D61" s="20"/>
      <c r="E61" s="20"/>
      <c r="F61" s="20"/>
      <c r="G61" s="20"/>
      <c r="H61" s="20"/>
      <c r="I61" s="20"/>
      <c r="J61" s="20"/>
    </row>
    <row r="62">
      <c r="A62" s="34" t="s">
        <v>1023</v>
      </c>
      <c r="B62" s="20"/>
      <c r="C62" s="34" t="s">
        <v>46</v>
      </c>
      <c r="D62" s="34" t="s">
        <v>793</v>
      </c>
      <c r="E62" s="34" t="s">
        <v>1026</v>
      </c>
      <c r="F62" s="34" t="s">
        <v>1027</v>
      </c>
      <c r="G62" s="34" t="s">
        <v>1023</v>
      </c>
      <c r="H62" s="20"/>
      <c r="I62" s="20"/>
      <c r="J62" s="20"/>
    </row>
    <row r="63">
      <c r="A63" s="2" t="s">
        <v>1030</v>
      </c>
      <c r="D63" s="2"/>
      <c r="E63" s="2" t="s">
        <v>1031</v>
      </c>
    </row>
    <row r="64">
      <c r="A64" s="34" t="s">
        <v>1032</v>
      </c>
      <c r="B64" s="20"/>
      <c r="C64" s="34" t="s">
        <v>46</v>
      </c>
      <c r="D64" s="34" t="s">
        <v>1033</v>
      </c>
      <c r="E64" s="20"/>
      <c r="F64" s="34" t="s">
        <v>1036</v>
      </c>
      <c r="G64" s="34" t="s">
        <v>1032</v>
      </c>
      <c r="H64" s="20"/>
      <c r="I64" s="20"/>
      <c r="J64" s="20"/>
    </row>
    <row r="65">
      <c r="A65" s="2" t="s">
        <v>1039</v>
      </c>
      <c r="D65" s="45" t="s">
        <v>776</v>
      </c>
      <c r="E65" s="2" t="s">
        <v>1040</v>
      </c>
      <c r="H65" s="2" t="s">
        <v>769</v>
      </c>
    </row>
    <row r="66">
      <c r="A66" s="34" t="s">
        <v>1044</v>
      </c>
      <c r="B66" s="20"/>
      <c r="C66" s="34" t="s">
        <v>1047</v>
      </c>
      <c r="D66" s="34" t="s">
        <v>1049</v>
      </c>
      <c r="E66" s="34" t="s">
        <v>1050</v>
      </c>
      <c r="F66" s="20"/>
      <c r="G66" s="20"/>
      <c r="H66" s="34" t="s">
        <v>790</v>
      </c>
      <c r="I66" s="34" t="s">
        <v>1052</v>
      </c>
      <c r="J66" s="20"/>
    </row>
    <row r="67">
      <c r="A67" s="34" t="s">
        <v>1054</v>
      </c>
      <c r="B67" s="34" t="s">
        <v>1054</v>
      </c>
      <c r="C67" s="34" t="s">
        <v>46</v>
      </c>
      <c r="D67" s="34" t="s">
        <v>932</v>
      </c>
      <c r="E67" s="34" t="s">
        <v>1055</v>
      </c>
      <c r="F67" s="34" t="s">
        <v>877</v>
      </c>
      <c r="G67" s="34" t="s">
        <v>1057</v>
      </c>
      <c r="H67" s="34" t="s">
        <v>790</v>
      </c>
      <c r="I67" s="20"/>
      <c r="J67" s="20"/>
    </row>
    <row r="68">
      <c r="A68" s="34" t="s">
        <v>527</v>
      </c>
      <c r="B68" s="20"/>
      <c r="C68" s="34" t="s">
        <v>46</v>
      </c>
      <c r="D68" s="34" t="s">
        <v>1061</v>
      </c>
      <c r="E68" s="34" t="s">
        <v>1063</v>
      </c>
      <c r="F68" s="20"/>
      <c r="G68" s="34" t="s">
        <v>527</v>
      </c>
      <c r="H68" s="34" t="s">
        <v>762</v>
      </c>
      <c r="I68" s="20"/>
      <c r="J68" s="20"/>
    </row>
    <row r="69">
      <c r="A69" s="34" t="s">
        <v>1068</v>
      </c>
      <c r="B69" s="20"/>
      <c r="C69" s="34" t="s">
        <v>1070</v>
      </c>
      <c r="D69" s="34"/>
      <c r="E69" s="34" t="s">
        <v>1071</v>
      </c>
      <c r="F69" s="34" t="s">
        <v>1072</v>
      </c>
      <c r="G69" s="34" t="s">
        <v>1068</v>
      </c>
      <c r="H69" s="34" t="s">
        <v>769</v>
      </c>
      <c r="I69" s="20"/>
      <c r="J69" s="20"/>
    </row>
    <row r="70">
      <c r="A70" s="34" t="s">
        <v>1075</v>
      </c>
      <c r="B70" s="20"/>
      <c r="C70" s="34" t="s">
        <v>46</v>
      </c>
      <c r="D70" s="34" t="s">
        <v>793</v>
      </c>
      <c r="E70" s="34" t="s">
        <v>1079</v>
      </c>
      <c r="F70" s="20"/>
      <c r="G70" s="20"/>
      <c r="H70" s="20"/>
      <c r="I70" s="20"/>
      <c r="J70" s="20"/>
    </row>
    <row r="71">
      <c r="A71" s="34" t="s">
        <v>1083</v>
      </c>
      <c r="B71" s="20"/>
      <c r="C71" s="20"/>
      <c r="D71" s="34" t="s">
        <v>1091</v>
      </c>
      <c r="E71" s="34" t="s">
        <v>1092</v>
      </c>
      <c r="F71" s="34" t="s">
        <v>1094</v>
      </c>
      <c r="G71" s="34" t="s">
        <v>1083</v>
      </c>
      <c r="H71" s="34" t="s">
        <v>778</v>
      </c>
      <c r="I71" s="20"/>
      <c r="J71" s="20"/>
    </row>
    <row r="72">
      <c r="A72" s="34" t="s">
        <v>1098</v>
      </c>
      <c r="B72" s="20"/>
      <c r="C72" s="34" t="s">
        <v>46</v>
      </c>
      <c r="D72" s="34" t="s">
        <v>1099</v>
      </c>
      <c r="E72" s="34" t="s">
        <v>1100</v>
      </c>
      <c r="F72" s="34" t="s">
        <v>1101</v>
      </c>
      <c r="G72" s="34" t="s">
        <v>1098</v>
      </c>
      <c r="H72" s="34" t="s">
        <v>798</v>
      </c>
      <c r="I72" s="20"/>
      <c r="J72" s="20"/>
    </row>
    <row r="73">
      <c r="A73" s="34" t="s">
        <v>446</v>
      </c>
      <c r="B73" s="20"/>
      <c r="C73" s="34" t="s">
        <v>46</v>
      </c>
      <c r="D73" s="20"/>
      <c r="E73" s="34" t="s">
        <v>544</v>
      </c>
      <c r="F73" s="20"/>
      <c r="G73" s="34" t="s">
        <v>447</v>
      </c>
      <c r="H73" s="34" t="s">
        <v>923</v>
      </c>
      <c r="I73" s="20"/>
      <c r="J73" s="20"/>
    </row>
    <row r="74">
      <c r="A74" s="34" t="s">
        <v>1106</v>
      </c>
      <c r="B74" s="20"/>
      <c r="C74" s="34" t="s">
        <v>46</v>
      </c>
      <c r="D74" s="34" t="s">
        <v>1108</v>
      </c>
      <c r="E74" s="34" t="s">
        <v>1110</v>
      </c>
      <c r="F74" s="34" t="s">
        <v>1112</v>
      </c>
      <c r="G74" s="20"/>
      <c r="H74" s="20"/>
      <c r="I74" s="20"/>
      <c r="J74" s="20"/>
    </row>
    <row r="75">
      <c r="A75" s="2" t="s">
        <v>1116</v>
      </c>
      <c r="D75" s="2"/>
      <c r="E75" s="2" t="s">
        <v>1118</v>
      </c>
      <c r="G75" s="2" t="s">
        <v>1119</v>
      </c>
    </row>
    <row r="76">
      <c r="A76" s="2" t="s">
        <v>1121</v>
      </c>
      <c r="E76" s="2" t="s">
        <v>1122</v>
      </c>
    </row>
    <row r="77">
      <c r="A77" s="99" t="s">
        <v>1124</v>
      </c>
      <c r="B77" s="100"/>
      <c r="C77" s="100"/>
      <c r="D77" s="45" t="s">
        <v>793</v>
      </c>
      <c r="E77" s="99" t="s">
        <v>1134</v>
      </c>
      <c r="F77" s="100"/>
      <c r="G77" s="99" t="s">
        <v>1124</v>
      </c>
      <c r="H77" s="99" t="s">
        <v>1137</v>
      </c>
      <c r="I77" s="99" t="s">
        <v>1138</v>
      </c>
      <c r="J77" s="85"/>
    </row>
    <row r="78">
      <c r="A78" s="34" t="s">
        <v>1140</v>
      </c>
      <c r="B78" s="20"/>
      <c r="C78" s="20"/>
      <c r="D78" s="34" t="s">
        <v>1142</v>
      </c>
      <c r="E78" s="34" t="s">
        <v>1143</v>
      </c>
      <c r="F78" s="34" t="s">
        <v>1144</v>
      </c>
      <c r="G78" s="20"/>
      <c r="H78" s="34" t="s">
        <v>762</v>
      </c>
      <c r="I78" s="20"/>
      <c r="J78" s="20"/>
    </row>
    <row r="79">
      <c r="A79" s="34" t="s">
        <v>1148</v>
      </c>
      <c r="B79" s="20"/>
      <c r="C79" s="34" t="s">
        <v>216</v>
      </c>
      <c r="D79" s="34" t="s">
        <v>814</v>
      </c>
      <c r="E79" s="34" t="s">
        <v>1150</v>
      </c>
      <c r="F79" s="20"/>
      <c r="G79" s="20"/>
      <c r="H79" s="34" t="s">
        <v>769</v>
      </c>
      <c r="I79" s="20"/>
      <c r="J79" s="20"/>
    </row>
    <row r="80">
      <c r="A80" s="34" t="s">
        <v>1154</v>
      </c>
      <c r="B80" s="20"/>
      <c r="C80" s="34" t="s">
        <v>46</v>
      </c>
      <c r="D80" s="34" t="s">
        <v>1158</v>
      </c>
      <c r="E80" s="34" t="s">
        <v>1160</v>
      </c>
      <c r="F80" s="20"/>
      <c r="G80" s="20"/>
      <c r="H80" s="34" t="s">
        <v>762</v>
      </c>
      <c r="I80" s="20"/>
      <c r="J80" s="20"/>
    </row>
    <row r="81">
      <c r="A81" s="38" t="s">
        <v>1164</v>
      </c>
      <c r="B81" s="39"/>
      <c r="C81" s="39"/>
      <c r="D81" s="38" t="s">
        <v>1166</v>
      </c>
      <c r="E81" s="38" t="s">
        <v>1167</v>
      </c>
      <c r="F81" s="39"/>
      <c r="G81" s="38" t="s">
        <v>1168</v>
      </c>
      <c r="H81" s="38" t="s">
        <v>1169</v>
      </c>
      <c r="I81" s="39"/>
      <c r="J81" s="39"/>
    </row>
    <row r="82">
      <c r="A82" s="34" t="s">
        <v>1171</v>
      </c>
      <c r="B82" s="20"/>
      <c r="C82" s="20"/>
      <c r="D82" s="34" t="s">
        <v>1172</v>
      </c>
      <c r="E82" s="20"/>
      <c r="F82" s="20"/>
      <c r="G82" s="20"/>
      <c r="H82" s="34" t="s">
        <v>778</v>
      </c>
      <c r="I82" s="20"/>
      <c r="J82" s="20"/>
    </row>
    <row r="83">
      <c r="A83" s="2" t="s">
        <v>1176</v>
      </c>
      <c r="B83" s="2"/>
      <c r="C83" s="2"/>
      <c r="D83" s="2"/>
      <c r="E83" s="2" t="s">
        <v>1178</v>
      </c>
      <c r="G83" s="2"/>
    </row>
    <row r="84">
      <c r="A84" s="34" t="s">
        <v>1179</v>
      </c>
      <c r="B84" s="34" t="s">
        <v>1180</v>
      </c>
      <c r="C84" s="34" t="s">
        <v>46</v>
      </c>
      <c r="D84" s="34"/>
      <c r="E84" s="20"/>
      <c r="F84" s="20"/>
      <c r="G84" s="34" t="s">
        <v>1183</v>
      </c>
      <c r="H84" s="20"/>
      <c r="I84" s="20"/>
      <c r="J84" s="20"/>
    </row>
    <row r="85">
      <c r="A85" s="34" t="s">
        <v>1186</v>
      </c>
      <c r="B85" s="56" t="s">
        <v>708</v>
      </c>
      <c r="C85" s="34" t="s">
        <v>46</v>
      </c>
      <c r="D85" s="20"/>
      <c r="E85" s="20"/>
      <c r="F85" s="20"/>
      <c r="G85" s="34" t="s">
        <v>1186</v>
      </c>
      <c r="H85" s="20"/>
      <c r="I85" s="20"/>
      <c r="J85" s="20"/>
    </row>
    <row r="86">
      <c r="A86" s="2" t="s">
        <v>1190</v>
      </c>
      <c r="D86" s="45" t="s">
        <v>1192</v>
      </c>
      <c r="E86" s="2" t="s">
        <v>1193</v>
      </c>
      <c r="F86" s="2" t="s">
        <v>1195</v>
      </c>
      <c r="G86" s="2" t="s">
        <v>1190</v>
      </c>
      <c r="H86" s="2" t="s">
        <v>769</v>
      </c>
    </row>
    <row r="87">
      <c r="A87" s="2" t="s">
        <v>1198</v>
      </c>
      <c r="E87" s="2" t="s">
        <v>1202</v>
      </c>
    </row>
    <row r="88">
      <c r="A88" s="34" t="s">
        <v>1203</v>
      </c>
      <c r="B88" s="34" t="s">
        <v>1204</v>
      </c>
      <c r="C88" s="34" t="s">
        <v>46</v>
      </c>
      <c r="D88" s="34" t="s">
        <v>1205</v>
      </c>
      <c r="E88" s="34" t="s">
        <v>1206</v>
      </c>
      <c r="F88" s="34" t="s">
        <v>1207</v>
      </c>
      <c r="G88" s="34" t="s">
        <v>1204</v>
      </c>
      <c r="H88" s="34" t="s">
        <v>778</v>
      </c>
      <c r="I88" s="20"/>
      <c r="J88" s="20"/>
    </row>
    <row r="89">
      <c r="A89" s="34" t="s">
        <v>726</v>
      </c>
      <c r="B89" s="34"/>
      <c r="C89" s="34" t="s">
        <v>216</v>
      </c>
      <c r="D89" s="20"/>
      <c r="E89" s="34" t="s">
        <v>1208</v>
      </c>
      <c r="F89" s="20"/>
      <c r="G89" s="34" t="s">
        <v>726</v>
      </c>
      <c r="H89" s="20"/>
      <c r="I89" s="20"/>
      <c r="J89" s="20"/>
    </row>
    <row r="90">
      <c r="A90" s="34" t="s">
        <v>1209</v>
      </c>
      <c r="B90" s="20"/>
      <c r="C90" s="20"/>
      <c r="D90" s="34" t="s">
        <v>1210</v>
      </c>
      <c r="E90" s="34" t="s">
        <v>1211</v>
      </c>
      <c r="F90" s="20"/>
      <c r="G90" s="20"/>
      <c r="H90" s="34" t="s">
        <v>778</v>
      </c>
      <c r="I90" s="34" t="s">
        <v>1212</v>
      </c>
      <c r="J90" s="20"/>
    </row>
    <row r="91">
      <c r="A91" s="34" t="s">
        <v>1213</v>
      </c>
      <c r="B91" s="20"/>
      <c r="C91" s="34" t="s">
        <v>46</v>
      </c>
      <c r="D91" s="20"/>
      <c r="E91" s="20"/>
      <c r="F91" s="20"/>
      <c r="G91" s="34" t="s">
        <v>1213</v>
      </c>
      <c r="H91" s="20"/>
      <c r="I91" s="20"/>
      <c r="J91" s="20"/>
    </row>
    <row r="92">
      <c r="A92" s="2" t="s">
        <v>1215</v>
      </c>
      <c r="D92" s="69"/>
      <c r="E92" s="2" t="s">
        <v>1216</v>
      </c>
      <c r="H92" s="2" t="s">
        <v>1217</v>
      </c>
      <c r="I92" s="2" t="s">
        <v>1218</v>
      </c>
    </row>
    <row r="93">
      <c r="A93" s="2" t="s">
        <v>1219</v>
      </c>
      <c r="E93" s="2" t="s">
        <v>1220</v>
      </c>
      <c r="F93" s="2" t="s">
        <v>1221</v>
      </c>
    </row>
    <row r="94">
      <c r="A94" s="2" t="s">
        <v>1222</v>
      </c>
      <c r="D94" s="90" t="s">
        <v>896</v>
      </c>
      <c r="E94" s="2" t="s">
        <v>1223</v>
      </c>
      <c r="G94" s="2" t="s">
        <v>1224</v>
      </c>
      <c r="H94" s="2" t="s">
        <v>778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8</v>
      </c>
      <c r="G1" s="14" t="s">
        <v>9</v>
      </c>
      <c r="H1" s="2" t="s">
        <v>10</v>
      </c>
      <c r="I1" s="2"/>
    </row>
    <row r="2">
      <c r="A2" s="34" t="s">
        <v>120</v>
      </c>
      <c r="B2" s="34" t="s">
        <v>120</v>
      </c>
      <c r="C2" s="34" t="s">
        <v>216</v>
      </c>
      <c r="D2" s="20"/>
      <c r="E2" s="34" t="s">
        <v>810</v>
      </c>
      <c r="F2" s="20"/>
      <c r="G2" s="34" t="s">
        <v>120</v>
      </c>
      <c r="H2" s="34" t="s">
        <v>758</v>
      </c>
      <c r="I2" s="34" t="s">
        <v>811</v>
      </c>
    </row>
    <row r="3">
      <c r="A3" s="34" t="s">
        <v>139</v>
      </c>
      <c r="B3" s="34" t="s">
        <v>139</v>
      </c>
      <c r="C3" s="34" t="s">
        <v>46</v>
      </c>
      <c r="D3" s="20"/>
      <c r="E3" s="34" t="s">
        <v>815</v>
      </c>
      <c r="F3" s="20"/>
      <c r="G3" s="20"/>
      <c r="H3" s="34" t="s">
        <v>817</v>
      </c>
      <c r="I3" s="20"/>
    </row>
    <row r="4">
      <c r="A4" s="2" t="s">
        <v>179</v>
      </c>
      <c r="B4" s="2" t="s">
        <v>179</v>
      </c>
      <c r="E4" s="2" t="s">
        <v>819</v>
      </c>
      <c r="H4" s="2" t="s">
        <v>821</v>
      </c>
    </row>
    <row r="5">
      <c r="A5" s="2" t="s">
        <v>822</v>
      </c>
      <c r="B5" s="2" t="s">
        <v>822</v>
      </c>
      <c r="E5" s="2" t="s">
        <v>823</v>
      </c>
      <c r="G5" s="2" t="s">
        <v>824</v>
      </c>
      <c r="H5" s="2" t="s">
        <v>647</v>
      </c>
    </row>
    <row r="6">
      <c r="A6" s="2" t="s">
        <v>292</v>
      </c>
      <c r="B6" s="2" t="s">
        <v>292</v>
      </c>
      <c r="E6" s="2" t="s">
        <v>826</v>
      </c>
      <c r="H6" s="2" t="s">
        <v>828</v>
      </c>
    </row>
    <row r="7">
      <c r="A7" s="2" t="s">
        <v>306</v>
      </c>
      <c r="B7" s="2" t="s">
        <v>306</v>
      </c>
      <c r="E7" s="2" t="s">
        <v>830</v>
      </c>
      <c r="H7" s="2" t="s">
        <v>831</v>
      </c>
    </row>
    <row r="8">
      <c r="A8" s="2" t="s">
        <v>329</v>
      </c>
      <c r="B8" s="2" t="s">
        <v>833</v>
      </c>
      <c r="E8" s="2" t="s">
        <v>330</v>
      </c>
      <c r="H8" s="2" t="s">
        <v>835</v>
      </c>
    </row>
    <row r="9">
      <c r="A9" s="2" t="s">
        <v>349</v>
      </c>
      <c r="B9" s="2" t="s">
        <v>837</v>
      </c>
      <c r="E9" s="2" t="s">
        <v>350</v>
      </c>
      <c r="H9" s="2" t="s">
        <v>839</v>
      </c>
    </row>
    <row r="10">
      <c r="A10" s="2" t="s">
        <v>505</v>
      </c>
      <c r="B10" s="2" t="s">
        <v>505</v>
      </c>
      <c r="E10" s="2" t="s">
        <v>508</v>
      </c>
      <c r="H10" s="2" t="s">
        <v>840</v>
      </c>
    </row>
    <row r="11">
      <c r="A11" s="2" t="s">
        <v>630</v>
      </c>
      <c r="B11" s="2" t="s">
        <v>632</v>
      </c>
      <c r="E11" s="2" t="s">
        <v>633</v>
      </c>
    </row>
    <row r="12">
      <c r="A12" s="2" t="s">
        <v>644</v>
      </c>
      <c r="B12" s="2" t="s">
        <v>644</v>
      </c>
      <c r="E12" s="2" t="s">
        <v>645</v>
      </c>
      <c r="G12" s="2" t="s">
        <v>646</v>
      </c>
      <c r="H12" s="2" t="s">
        <v>647</v>
      </c>
    </row>
    <row r="13">
      <c r="A13" s="2" t="s">
        <v>651</v>
      </c>
      <c r="B13" s="2" t="s">
        <v>651</v>
      </c>
      <c r="E13" s="2" t="s">
        <v>849</v>
      </c>
      <c r="G13" s="2" t="s">
        <v>653</v>
      </c>
      <c r="H13" s="2" t="s">
        <v>654</v>
      </c>
    </row>
    <row r="14">
      <c r="A14" s="88" t="s">
        <v>670</v>
      </c>
      <c r="B14" s="88" t="s">
        <v>670</v>
      </c>
      <c r="C14" s="89"/>
      <c r="D14" s="88" t="s">
        <v>856</v>
      </c>
      <c r="E14" s="88" t="s">
        <v>858</v>
      </c>
      <c r="F14" s="89"/>
      <c r="G14" s="89"/>
      <c r="H14" s="88" t="s">
        <v>860</v>
      </c>
      <c r="I14" s="89"/>
    </row>
    <row r="15">
      <c r="A15" s="2" t="s">
        <v>687</v>
      </c>
      <c r="B15" s="2"/>
      <c r="E15" s="2" t="s">
        <v>688</v>
      </c>
      <c r="G15" s="2" t="s">
        <v>863</v>
      </c>
      <c r="H15" s="2" t="s">
        <v>865</v>
      </c>
    </row>
    <row r="16">
      <c r="A16" s="2" t="s">
        <v>703</v>
      </c>
      <c r="B16" s="2" t="s">
        <v>703</v>
      </c>
      <c r="E16" s="2" t="s">
        <v>704</v>
      </c>
      <c r="G16" s="2" t="s">
        <v>705</v>
      </c>
      <c r="H16" s="2" t="s">
        <v>706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2" max="2" width="28.57"/>
    <col customWidth="1" min="4" max="4" width="65.71"/>
    <col customWidth="1" min="5" max="5" width="21.57"/>
  </cols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8</v>
      </c>
      <c r="G1" s="11"/>
      <c r="H1" s="2" t="s">
        <v>9</v>
      </c>
      <c r="I1" s="14"/>
      <c r="J1" s="11"/>
      <c r="L1" s="11"/>
    </row>
    <row r="2">
      <c r="A2" s="34" t="s">
        <v>1020</v>
      </c>
      <c r="B2" s="34" t="s">
        <v>86</v>
      </c>
      <c r="C2" s="20"/>
      <c r="D2" s="20"/>
      <c r="E2" s="34"/>
      <c r="F2" s="20"/>
      <c r="G2" s="20"/>
      <c r="H2" s="20"/>
    </row>
    <row r="3">
      <c r="A3" s="34" t="s">
        <v>1022</v>
      </c>
      <c r="B3" s="34" t="s">
        <v>92</v>
      </c>
      <c r="C3" s="20"/>
      <c r="D3" s="20"/>
      <c r="E3" s="34"/>
      <c r="F3" s="20"/>
      <c r="G3" s="20"/>
      <c r="H3" s="20"/>
    </row>
    <row r="4">
      <c r="A4" s="88" t="s">
        <v>1025</v>
      </c>
      <c r="B4" s="88" t="s">
        <v>577</v>
      </c>
      <c r="C4" s="89"/>
      <c r="D4" s="89"/>
      <c r="E4" s="88" t="s">
        <v>1028</v>
      </c>
      <c r="F4" s="88" t="s">
        <v>828</v>
      </c>
      <c r="G4" s="89"/>
      <c r="H4" s="89"/>
    </row>
    <row r="5">
      <c r="A5" s="34" t="s">
        <v>419</v>
      </c>
      <c r="B5" s="34" t="s">
        <v>145</v>
      </c>
      <c r="C5" s="20"/>
      <c r="D5" s="20"/>
      <c r="E5" s="34"/>
      <c r="F5" s="20"/>
      <c r="G5" s="20"/>
      <c r="H5" s="34" t="s">
        <v>148</v>
      </c>
    </row>
    <row r="6">
      <c r="A6" s="34" t="s">
        <v>422</v>
      </c>
      <c r="B6" s="34" t="s">
        <v>160</v>
      </c>
      <c r="C6" s="20"/>
      <c r="D6" s="20"/>
      <c r="E6" s="34"/>
      <c r="F6" s="20"/>
      <c r="G6" s="20"/>
      <c r="H6" s="34"/>
    </row>
    <row r="7">
      <c r="A7" s="45" t="s">
        <v>1034</v>
      </c>
      <c r="B7" s="45" t="s">
        <v>1035</v>
      </c>
      <c r="C7" s="49"/>
      <c r="D7" s="49"/>
      <c r="E7" s="45" t="s">
        <v>1037</v>
      </c>
      <c r="F7" s="49"/>
      <c r="G7" s="49"/>
      <c r="H7" s="49"/>
    </row>
    <row r="8">
      <c r="A8" s="34" t="s">
        <v>1038</v>
      </c>
      <c r="B8" s="34" t="s">
        <v>235</v>
      </c>
      <c r="C8" s="20"/>
      <c r="D8" s="20"/>
      <c r="E8" s="34"/>
      <c r="F8" s="20"/>
      <c r="G8" s="20"/>
      <c r="H8" s="20"/>
    </row>
    <row r="9">
      <c r="A9" s="88" t="s">
        <v>1042</v>
      </c>
      <c r="B9" s="32" t="s">
        <v>1043</v>
      </c>
      <c r="C9" s="32"/>
      <c r="D9" s="48" t="s">
        <v>1048</v>
      </c>
      <c r="E9" s="94" t="s">
        <v>1051</v>
      </c>
      <c r="F9" s="89"/>
      <c r="G9" s="89"/>
      <c r="H9" s="88" t="s">
        <v>1053</v>
      </c>
    </row>
    <row r="10">
      <c r="A10" s="34" t="s">
        <v>455</v>
      </c>
      <c r="B10" s="34" t="s">
        <v>256</v>
      </c>
      <c r="C10" s="20"/>
      <c r="D10" s="20"/>
      <c r="E10" s="34"/>
      <c r="F10" s="20"/>
      <c r="G10" s="34"/>
      <c r="H10" s="20"/>
    </row>
    <row r="11">
      <c r="A11" s="34" t="s">
        <v>461</v>
      </c>
      <c r="B11" s="34" t="s">
        <v>261</v>
      </c>
      <c r="C11" s="20"/>
      <c r="D11" s="20"/>
      <c r="E11" s="34"/>
      <c r="F11" s="20"/>
      <c r="G11" s="20"/>
      <c r="H11" s="34"/>
    </row>
    <row r="12">
      <c r="A12" s="34" t="s">
        <v>1058</v>
      </c>
      <c r="B12" s="34" t="s">
        <v>1059</v>
      </c>
      <c r="C12" s="20"/>
      <c r="D12" s="34" t="s">
        <v>1060</v>
      </c>
      <c r="E12" s="34" t="s">
        <v>1062</v>
      </c>
      <c r="F12" s="20"/>
      <c r="G12" s="20"/>
      <c r="H12" s="20"/>
    </row>
    <row r="13">
      <c r="A13" s="34" t="s">
        <v>1064</v>
      </c>
      <c r="B13" s="34" t="s">
        <v>1065</v>
      </c>
      <c r="C13" s="20"/>
      <c r="D13" s="20"/>
      <c r="E13" s="34"/>
      <c r="F13" s="20"/>
      <c r="G13" s="20"/>
      <c r="H13" s="34" t="s">
        <v>1067</v>
      </c>
    </row>
    <row r="14">
      <c r="A14" s="34" t="s">
        <v>1069</v>
      </c>
      <c r="B14" s="34" t="s">
        <v>467</v>
      </c>
      <c r="C14" s="20"/>
      <c r="D14" s="20"/>
      <c r="E14" s="34" t="s">
        <v>286</v>
      </c>
      <c r="F14" s="20"/>
      <c r="G14" s="20"/>
      <c r="H14" s="34" t="s">
        <v>466</v>
      </c>
    </row>
    <row r="15">
      <c r="A15" s="34" t="s">
        <v>1073</v>
      </c>
      <c r="B15" s="34" t="s">
        <v>979</v>
      </c>
      <c r="C15" s="20"/>
      <c r="D15" s="20"/>
      <c r="E15" s="34" t="s">
        <v>1074</v>
      </c>
      <c r="F15" s="34" t="s">
        <v>1076</v>
      </c>
      <c r="G15" s="20"/>
      <c r="H15" s="20"/>
    </row>
    <row r="16">
      <c r="A16" s="34" t="s">
        <v>1077</v>
      </c>
      <c r="B16" s="34" t="s">
        <v>1078</v>
      </c>
      <c r="C16" s="20"/>
      <c r="D16" s="34" t="s">
        <v>1080</v>
      </c>
      <c r="E16" s="34" t="s">
        <v>1081</v>
      </c>
      <c r="F16" s="34" t="s">
        <v>1082</v>
      </c>
      <c r="G16" s="20"/>
      <c r="H16" s="20"/>
    </row>
    <row r="17">
      <c r="A17" s="34" t="s">
        <v>489</v>
      </c>
      <c r="B17" s="34" t="s">
        <v>491</v>
      </c>
      <c r="C17" s="20"/>
      <c r="D17" s="34"/>
      <c r="E17" s="20"/>
      <c r="F17" s="20"/>
      <c r="G17" s="20"/>
      <c r="H17" s="34" t="s">
        <v>489</v>
      </c>
    </row>
    <row r="18">
      <c r="A18" s="34" t="s">
        <v>1086</v>
      </c>
      <c r="B18" s="34" t="s">
        <v>1087</v>
      </c>
      <c r="C18" s="20"/>
      <c r="D18" s="20"/>
      <c r="E18" s="20"/>
      <c r="F18" s="20"/>
      <c r="G18" s="20"/>
      <c r="H18" s="20"/>
    </row>
    <row r="19">
      <c r="A19" s="34" t="s">
        <v>500</v>
      </c>
      <c r="B19" s="34" t="s">
        <v>390</v>
      </c>
      <c r="C19" s="34"/>
      <c r="D19" s="20"/>
      <c r="E19" s="20"/>
      <c r="F19" s="20"/>
      <c r="G19" s="20"/>
      <c r="H19" s="20"/>
    </row>
    <row r="20">
      <c r="A20" s="45" t="s">
        <v>1088</v>
      </c>
      <c r="B20" s="45" t="s">
        <v>399</v>
      </c>
      <c r="C20" s="49"/>
      <c r="D20" s="45" t="s">
        <v>1089</v>
      </c>
      <c r="E20" s="45" t="s">
        <v>400</v>
      </c>
      <c r="F20" s="49"/>
      <c r="G20" s="49"/>
      <c r="H20" s="49"/>
    </row>
    <row r="21">
      <c r="A21" s="34" t="s">
        <v>1090</v>
      </c>
      <c r="B21" s="34" t="s">
        <v>369</v>
      </c>
      <c r="C21" s="20"/>
      <c r="D21" s="20"/>
      <c r="E21" s="20"/>
      <c r="F21" s="34" t="s">
        <v>1093</v>
      </c>
      <c r="G21" s="20"/>
      <c r="H21" s="20"/>
    </row>
    <row r="22">
      <c r="A22" s="34" t="s">
        <v>1095</v>
      </c>
      <c r="B22" s="34" t="s">
        <v>406</v>
      </c>
      <c r="C22" s="20"/>
      <c r="D22" s="20"/>
      <c r="E22" s="34"/>
      <c r="F22" s="20"/>
      <c r="G22" s="20"/>
      <c r="H22" s="20"/>
    </row>
    <row r="23">
      <c r="A23" s="34" t="s">
        <v>1097</v>
      </c>
      <c r="B23" s="34" t="s">
        <v>425</v>
      </c>
      <c r="C23" s="20"/>
      <c r="D23" s="20"/>
      <c r="E23" s="34"/>
      <c r="F23" s="20"/>
      <c r="G23" s="20"/>
      <c r="H23" s="20"/>
    </row>
    <row r="24">
      <c r="A24" s="34" t="s">
        <v>537</v>
      </c>
      <c r="B24" s="34" t="s">
        <v>512</v>
      </c>
      <c r="C24" s="20"/>
      <c r="D24" s="20"/>
      <c r="E24" s="20"/>
      <c r="F24" s="20"/>
      <c r="G24" s="20"/>
      <c r="H24" s="34" t="s">
        <v>515</v>
      </c>
    </row>
    <row r="25">
      <c r="A25" s="34" t="s">
        <v>541</v>
      </c>
      <c r="B25" s="34" t="s">
        <v>542</v>
      </c>
      <c r="C25" s="20"/>
      <c r="D25" s="20"/>
      <c r="E25" s="34"/>
      <c r="F25" s="20"/>
      <c r="G25" s="20"/>
      <c r="H25" s="34" t="s">
        <v>541</v>
      </c>
    </row>
    <row r="26">
      <c r="A26" s="34" t="s">
        <v>545</v>
      </c>
      <c r="B26" s="34" t="s">
        <v>546</v>
      </c>
      <c r="C26" s="20"/>
      <c r="D26" s="20"/>
      <c r="E26" s="20"/>
      <c r="F26" s="20"/>
      <c r="G26" s="20"/>
      <c r="H26" s="20"/>
    </row>
    <row r="27">
      <c r="A27" s="38" t="s">
        <v>1105</v>
      </c>
      <c r="B27" s="38" t="s">
        <v>619</v>
      </c>
      <c r="C27" s="39"/>
      <c r="D27" s="39"/>
      <c r="E27" s="97" t="s">
        <v>1107</v>
      </c>
      <c r="F27" s="38" t="s">
        <v>1111</v>
      </c>
      <c r="G27" s="39"/>
      <c r="H27" s="38" t="s">
        <v>1113</v>
      </c>
    </row>
    <row r="28">
      <c r="A28" s="34" t="s">
        <v>1114</v>
      </c>
      <c r="B28" s="34" t="s">
        <v>617</v>
      </c>
      <c r="C28" s="20"/>
      <c r="D28" s="20"/>
      <c r="E28" s="20"/>
      <c r="F28" s="20"/>
      <c r="G28" s="20"/>
      <c r="H28" s="20"/>
    </row>
    <row r="29">
      <c r="A29" s="34" t="s">
        <v>1117</v>
      </c>
      <c r="B29" s="34" t="s">
        <v>662</v>
      </c>
      <c r="C29" s="20"/>
      <c r="D29" s="20"/>
      <c r="E29" s="20"/>
      <c r="F29" s="34" t="s">
        <v>1120</v>
      </c>
      <c r="G29" s="20"/>
      <c r="H29" s="20"/>
    </row>
    <row r="30">
      <c r="A30" s="34" t="s">
        <v>568</v>
      </c>
      <c r="B30" s="34" t="s">
        <v>568</v>
      </c>
      <c r="C30" s="20"/>
      <c r="D30" s="20"/>
      <c r="E30" s="20"/>
      <c r="F30" s="20"/>
      <c r="G30" s="20"/>
      <c r="H30" s="34" t="s">
        <v>568</v>
      </c>
    </row>
    <row r="31">
      <c r="A31" s="34" t="s">
        <v>1126</v>
      </c>
      <c r="B31" s="34" t="s">
        <v>1128</v>
      </c>
      <c r="C31" s="20"/>
      <c r="D31" s="20"/>
      <c r="E31" s="34"/>
      <c r="F31" s="34" t="s">
        <v>1131</v>
      </c>
      <c r="G31" s="20"/>
      <c r="H31" s="34" t="s">
        <v>1133</v>
      </c>
    </row>
    <row r="32">
      <c r="A32" s="34" t="s">
        <v>1136</v>
      </c>
      <c r="B32" s="34" t="s">
        <v>68</v>
      </c>
      <c r="C32" s="20"/>
      <c r="D32" s="20"/>
      <c r="E32" s="20"/>
      <c r="F32" s="20"/>
      <c r="G32" s="20"/>
      <c r="H32" s="20"/>
    </row>
    <row r="33">
      <c r="A33" s="45" t="s">
        <v>1139</v>
      </c>
      <c r="B33" s="45" t="s">
        <v>143</v>
      </c>
      <c r="C33" s="49"/>
      <c r="D33" s="47" t="s">
        <v>147</v>
      </c>
      <c r="E33" s="45" t="s">
        <v>151</v>
      </c>
      <c r="F33" s="45"/>
      <c r="G33" s="49"/>
      <c r="H33" s="45" t="s">
        <v>154</v>
      </c>
    </row>
    <row r="34">
      <c r="A34" s="34" t="s">
        <v>595</v>
      </c>
      <c r="B34" s="34" t="s">
        <v>596</v>
      </c>
      <c r="C34" s="20"/>
      <c r="D34" s="20"/>
      <c r="E34" s="20"/>
      <c r="F34" s="20"/>
      <c r="G34" s="20"/>
      <c r="H34" s="20"/>
    </row>
    <row r="35">
      <c r="A35" s="34" t="s">
        <v>1152</v>
      </c>
      <c r="B35" s="34" t="s">
        <v>300</v>
      </c>
      <c r="C35" s="20"/>
      <c r="D35" s="34" t="s">
        <v>1153</v>
      </c>
      <c r="E35" s="34" t="s">
        <v>1155</v>
      </c>
      <c r="F35" s="20"/>
      <c r="G35" s="20"/>
      <c r="H35" s="34" t="s">
        <v>1156</v>
      </c>
    </row>
    <row r="36">
      <c r="A36" s="34" t="s">
        <v>1159</v>
      </c>
      <c r="B36" s="34" t="s">
        <v>720</v>
      </c>
      <c r="C36" s="20"/>
      <c r="D36" s="20"/>
      <c r="E36" s="34"/>
      <c r="F36" s="20"/>
      <c r="G36" s="20"/>
      <c r="H36" s="34" t="s">
        <v>676</v>
      </c>
    </row>
    <row r="37">
      <c r="A37" s="34" t="s">
        <v>598</v>
      </c>
      <c r="B37" s="34" t="s">
        <v>600</v>
      </c>
      <c r="C37" s="20"/>
      <c r="D37" s="20"/>
      <c r="E37" s="20"/>
      <c r="F37" s="20"/>
      <c r="G37" s="20"/>
      <c r="H37" s="34" t="s">
        <v>602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4" max="4" width="21.57"/>
    <col customWidth="1" min="5" max="5" width="211.29"/>
  </cols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7</v>
      </c>
      <c r="G1" s="11"/>
      <c r="H1" s="2" t="s">
        <v>11</v>
      </c>
      <c r="I1" s="14"/>
      <c r="J1" s="11"/>
      <c r="L1" s="11"/>
    </row>
    <row r="2">
      <c r="A2" s="34" t="s">
        <v>74</v>
      </c>
      <c r="B2" s="20"/>
      <c r="C2" s="20"/>
      <c r="D2" s="34" t="s">
        <v>808</v>
      </c>
      <c r="E2" s="34" t="s">
        <v>809</v>
      </c>
      <c r="F2" s="34" t="s">
        <v>74</v>
      </c>
      <c r="G2" s="34"/>
      <c r="H2" s="20"/>
    </row>
    <row r="3">
      <c r="A3" s="2" t="s">
        <v>1130</v>
      </c>
      <c r="D3" s="2"/>
      <c r="E3" s="2" t="s">
        <v>1132</v>
      </c>
      <c r="F3" s="2" t="s">
        <v>1135</v>
      </c>
    </row>
    <row r="4">
      <c r="A4" s="34" t="s">
        <v>437</v>
      </c>
      <c r="B4" s="20"/>
      <c r="C4" s="20"/>
      <c r="D4" s="34"/>
      <c r="E4" s="20"/>
      <c r="F4" s="34"/>
      <c r="G4" s="20"/>
      <c r="H4" s="20"/>
    </row>
    <row r="5">
      <c r="A5" s="34" t="s">
        <v>780</v>
      </c>
      <c r="B5" s="20"/>
      <c r="C5" s="34"/>
      <c r="D5" s="20"/>
      <c r="E5" s="34" t="s">
        <v>783</v>
      </c>
      <c r="F5" s="20"/>
      <c r="G5" s="20"/>
      <c r="H5" s="20"/>
    </row>
    <row r="6">
      <c r="A6" s="2" t="s">
        <v>1145</v>
      </c>
      <c r="D6" s="2"/>
      <c r="E6" s="2" t="s">
        <v>1146</v>
      </c>
    </row>
    <row r="7">
      <c r="A7" s="34" t="s">
        <v>1147</v>
      </c>
      <c r="B7" s="20"/>
      <c r="C7" s="20"/>
      <c r="D7" s="34"/>
      <c r="E7" s="20"/>
      <c r="F7" s="34" t="s">
        <v>1147</v>
      </c>
      <c r="G7" s="20"/>
      <c r="H7" s="20"/>
    </row>
    <row r="8">
      <c r="A8" s="34" t="s">
        <v>467</v>
      </c>
      <c r="B8" s="20"/>
      <c r="C8" s="20"/>
      <c r="D8" s="34"/>
      <c r="E8" s="20"/>
      <c r="F8" s="34" t="s">
        <v>466</v>
      </c>
      <c r="G8" s="34"/>
      <c r="H8" s="20"/>
    </row>
    <row r="9">
      <c r="A9" s="2" t="s">
        <v>1157</v>
      </c>
      <c r="D9" s="2"/>
      <c r="E9" s="2" t="s">
        <v>1161</v>
      </c>
      <c r="F9" s="2" t="s">
        <v>1157</v>
      </c>
    </row>
    <row r="10">
      <c r="A10" s="34" t="s">
        <v>1162</v>
      </c>
      <c r="B10" s="20"/>
      <c r="C10" s="20"/>
      <c r="D10" s="34" t="s">
        <v>1163</v>
      </c>
      <c r="E10" s="34" t="s">
        <v>1165</v>
      </c>
      <c r="F10" s="34" t="s">
        <v>1162</v>
      </c>
      <c r="G10" s="20"/>
      <c r="H10" s="20"/>
    </row>
    <row r="11">
      <c r="A11" s="34" t="s">
        <v>541</v>
      </c>
      <c r="B11" s="20"/>
      <c r="C11" s="20"/>
      <c r="D11" s="34"/>
      <c r="E11" s="20"/>
      <c r="F11" s="34" t="s">
        <v>542</v>
      </c>
      <c r="G11" s="20"/>
      <c r="H11" s="20"/>
    </row>
    <row r="12">
      <c r="A12" s="34" t="s">
        <v>1170</v>
      </c>
      <c r="B12" s="20"/>
      <c r="C12" s="34" t="s">
        <v>366</v>
      </c>
      <c r="D12" s="34"/>
      <c r="E12" s="34" t="s">
        <v>1173</v>
      </c>
      <c r="F12" s="34" t="s">
        <v>1170</v>
      </c>
      <c r="G12" s="20"/>
      <c r="H12" s="20"/>
    </row>
    <row r="13">
      <c r="A13" s="45" t="s">
        <v>1175</v>
      </c>
      <c r="B13" s="49"/>
      <c r="C13" s="49"/>
      <c r="D13" s="45"/>
      <c r="E13" s="101" t="s">
        <v>1177</v>
      </c>
      <c r="F13" s="49"/>
      <c r="G13" s="49"/>
      <c r="H13" s="49"/>
    </row>
    <row r="14">
      <c r="A14" s="2" t="s">
        <v>1181</v>
      </c>
      <c r="E14" s="2" t="s">
        <v>1182</v>
      </c>
      <c r="F14" s="2" t="s">
        <v>1181</v>
      </c>
    </row>
    <row r="15">
      <c r="A15" s="2" t="s">
        <v>1185</v>
      </c>
      <c r="D15" s="2"/>
      <c r="E15" s="2" t="s">
        <v>1187</v>
      </c>
      <c r="F15" s="2" t="s">
        <v>1185</v>
      </c>
      <c r="G15" s="2"/>
    </row>
    <row r="16">
      <c r="A16" s="34" t="s">
        <v>491</v>
      </c>
      <c r="B16" s="20"/>
      <c r="C16" s="20"/>
      <c r="D16" s="34"/>
      <c r="E16" s="20"/>
      <c r="F16" s="34" t="s">
        <v>489</v>
      </c>
      <c r="G16" s="20"/>
      <c r="H16" s="20"/>
    </row>
    <row r="17">
      <c r="A17" s="34" t="s">
        <v>1189</v>
      </c>
      <c r="B17" s="20"/>
      <c r="C17" s="34"/>
      <c r="D17" s="20"/>
      <c r="E17" s="34" t="s">
        <v>1191</v>
      </c>
      <c r="F17" s="20"/>
      <c r="G17" s="20"/>
      <c r="H17" s="20"/>
    </row>
    <row r="18">
      <c r="A18" s="2" t="s">
        <v>1194</v>
      </c>
      <c r="B18" s="2" t="s">
        <v>1196</v>
      </c>
      <c r="E18" s="2" t="s">
        <v>1197</v>
      </c>
      <c r="F18" s="2" t="s">
        <v>1194</v>
      </c>
      <c r="G18" s="2"/>
    </row>
    <row r="19">
      <c r="A19" s="2" t="s">
        <v>1199</v>
      </c>
      <c r="D19" s="2"/>
      <c r="E19" s="2" t="s">
        <v>1201</v>
      </c>
    </row>
    <row r="20">
      <c r="A20" s="2"/>
    </row>
    <row r="21">
      <c r="A21" s="2"/>
    </row>
    <row r="22">
      <c r="A22" s="2"/>
    </row>
    <row r="23">
      <c r="A23" s="2"/>
      <c r="B23" s="2"/>
    </row>
    <row r="24">
      <c r="A24" s="2"/>
    </row>
    <row r="25">
      <c r="A25" s="2"/>
    </row>
    <row r="26">
      <c r="A26" s="2"/>
      <c r="D26" s="2"/>
    </row>
    <row r="27">
      <c r="A27" s="2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4" max="4" width="26.0"/>
    <col customWidth="1" min="7" max="7" width="33.14"/>
  </cols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8</v>
      </c>
      <c r="G1" s="10" t="s">
        <v>1258</v>
      </c>
      <c r="H1" s="2" t="s">
        <v>11</v>
      </c>
      <c r="I1" s="14"/>
      <c r="J1" s="11"/>
      <c r="L1" s="11"/>
    </row>
    <row r="2">
      <c r="A2" s="2" t="s">
        <v>40</v>
      </c>
      <c r="E2" s="2" t="s">
        <v>42</v>
      </c>
      <c r="G2" s="2" t="s">
        <v>43</v>
      </c>
    </row>
    <row r="3">
      <c r="A3" s="2" t="s">
        <v>1259</v>
      </c>
      <c r="E3" s="2" t="s">
        <v>1260</v>
      </c>
    </row>
    <row r="4">
      <c r="A4" s="2" t="s">
        <v>1261</v>
      </c>
      <c r="E4" s="2" t="s">
        <v>1262</v>
      </c>
      <c r="G4" s="2" t="s">
        <v>1263</v>
      </c>
    </row>
    <row r="5">
      <c r="A5" s="2" t="s">
        <v>1264</v>
      </c>
      <c r="E5" s="2" t="s">
        <v>1265</v>
      </c>
      <c r="G5" s="2" t="s">
        <v>1266</v>
      </c>
    </row>
    <row r="6">
      <c r="A6" s="2" t="s">
        <v>1267</v>
      </c>
      <c r="E6" s="2" t="s">
        <v>1268</v>
      </c>
      <c r="H6" s="2" t="s">
        <v>828</v>
      </c>
    </row>
    <row r="7">
      <c r="A7" s="2" t="s">
        <v>1270</v>
      </c>
      <c r="E7" s="2" t="s">
        <v>1271</v>
      </c>
    </row>
    <row r="8">
      <c r="A8" s="54" t="s">
        <v>1273</v>
      </c>
      <c r="B8" s="54" t="s">
        <v>86</v>
      </c>
      <c r="C8" s="106"/>
      <c r="D8" s="106"/>
      <c r="E8" s="107"/>
      <c r="F8" s="107"/>
      <c r="G8" s="54" t="s">
        <v>86</v>
      </c>
      <c r="H8" s="106"/>
    </row>
    <row r="9">
      <c r="A9" s="2" t="s">
        <v>1274</v>
      </c>
      <c r="E9" s="2" t="s">
        <v>1132</v>
      </c>
      <c r="G9" s="2" t="s">
        <v>1274</v>
      </c>
    </row>
    <row r="10">
      <c r="A10" s="2" t="s">
        <v>1275</v>
      </c>
      <c r="E10" s="2" t="s">
        <v>1276</v>
      </c>
    </row>
    <row r="11">
      <c r="A11" s="2" t="s">
        <v>1277</v>
      </c>
      <c r="E11" s="2" t="s">
        <v>1278</v>
      </c>
      <c r="F11" s="2" t="s">
        <v>1279</v>
      </c>
      <c r="G11" s="2" t="s">
        <v>1280</v>
      </c>
    </row>
    <row r="12">
      <c r="A12" s="84" t="s">
        <v>1281</v>
      </c>
      <c r="B12" s="85"/>
      <c r="C12" s="85"/>
      <c r="D12" s="85"/>
      <c r="E12" s="84" t="s">
        <v>1282</v>
      </c>
      <c r="F12" s="84" t="s">
        <v>1284</v>
      </c>
      <c r="G12" s="85"/>
      <c r="H12" s="84" t="s">
        <v>1285</v>
      </c>
    </row>
    <row r="13">
      <c r="A13" s="2" t="s">
        <v>1286</v>
      </c>
      <c r="E13" s="2" t="s">
        <v>1287</v>
      </c>
      <c r="H13" s="2" t="s">
        <v>828</v>
      </c>
    </row>
    <row r="14">
      <c r="A14" s="2" t="s">
        <v>1288</v>
      </c>
      <c r="E14" s="2" t="s">
        <v>1289</v>
      </c>
    </row>
    <row r="15">
      <c r="A15" s="88" t="s">
        <v>577</v>
      </c>
      <c r="B15" s="89"/>
      <c r="C15" s="89"/>
      <c r="D15" s="89"/>
      <c r="E15" s="88" t="s">
        <v>1028</v>
      </c>
      <c r="F15" s="89"/>
      <c r="G15" s="88" t="s">
        <v>1025</v>
      </c>
      <c r="H15" s="89"/>
    </row>
    <row r="16">
      <c r="A16" s="2" t="s">
        <v>1291</v>
      </c>
      <c r="E16" s="2" t="s">
        <v>1292</v>
      </c>
      <c r="G16" s="2" t="s">
        <v>1291</v>
      </c>
    </row>
    <row r="17">
      <c r="A17" s="2" t="s">
        <v>1293</v>
      </c>
      <c r="E17" s="2" t="s">
        <v>1294</v>
      </c>
      <c r="H17" s="2" t="s">
        <v>828</v>
      </c>
    </row>
    <row r="18">
      <c r="A18" s="2" t="s">
        <v>1295</v>
      </c>
      <c r="E18" s="2" t="s">
        <v>1297</v>
      </c>
      <c r="G18" s="2" t="s">
        <v>1298</v>
      </c>
      <c r="H18" s="2"/>
    </row>
    <row r="19">
      <c r="A19" s="2" t="s">
        <v>1299</v>
      </c>
      <c r="E19" s="2" t="s">
        <v>1300</v>
      </c>
    </row>
    <row r="20">
      <c r="A20" s="34" t="s">
        <v>223</v>
      </c>
      <c r="B20" s="20"/>
      <c r="C20" s="20"/>
      <c r="D20" s="20"/>
      <c r="E20" s="20"/>
      <c r="F20" s="20"/>
      <c r="G20" s="20"/>
      <c r="H20" s="20"/>
    </row>
    <row r="21">
      <c r="A21" s="34" t="s">
        <v>256</v>
      </c>
      <c r="B21" s="20"/>
      <c r="C21" s="20"/>
      <c r="D21" s="20"/>
      <c r="E21" s="20"/>
      <c r="F21" s="20"/>
      <c r="G21" s="20"/>
      <c r="H21" s="20"/>
    </row>
    <row r="22">
      <c r="A22" s="2" t="s">
        <v>1302</v>
      </c>
      <c r="E22" s="2" t="s">
        <v>1303</v>
      </c>
      <c r="G22" s="2" t="s">
        <v>1304</v>
      </c>
    </row>
    <row r="23">
      <c r="A23" s="34" t="s">
        <v>1305</v>
      </c>
      <c r="B23" s="20"/>
      <c r="C23" s="20"/>
      <c r="D23" s="20"/>
      <c r="E23" s="20"/>
      <c r="F23" s="20"/>
      <c r="G23" s="34" t="s">
        <v>261</v>
      </c>
      <c r="H23" s="20"/>
    </row>
    <row r="24">
      <c r="A24" s="34" t="s">
        <v>1059</v>
      </c>
      <c r="B24" s="20"/>
      <c r="C24" s="20"/>
      <c r="D24" s="20"/>
      <c r="E24" s="20"/>
      <c r="F24" s="20"/>
      <c r="G24" s="20"/>
      <c r="H24" s="20"/>
    </row>
    <row r="25">
      <c r="A25" s="2" t="s">
        <v>1309</v>
      </c>
      <c r="E25" s="2" t="s">
        <v>1311</v>
      </c>
      <c r="G25" s="2" t="s">
        <v>1312</v>
      </c>
    </row>
    <row r="26">
      <c r="A26" s="2" t="s">
        <v>1313</v>
      </c>
      <c r="E26" s="2" t="s">
        <v>324</v>
      </c>
      <c r="G26" s="2" t="s">
        <v>322</v>
      </c>
    </row>
    <row r="27">
      <c r="A27" s="2" t="s">
        <v>1315</v>
      </c>
      <c r="E27" s="2" t="s">
        <v>1318</v>
      </c>
      <c r="G27" s="2" t="s">
        <v>1320</v>
      </c>
    </row>
    <row r="28">
      <c r="A28" s="2" t="s">
        <v>1321</v>
      </c>
      <c r="E28" s="2" t="s">
        <v>1324</v>
      </c>
      <c r="G28" s="2" t="s">
        <v>1325</v>
      </c>
    </row>
    <row r="29">
      <c r="A29" s="2" t="s">
        <v>1326</v>
      </c>
      <c r="E29" s="2" t="s">
        <v>1327</v>
      </c>
      <c r="H29" s="2" t="s">
        <v>828</v>
      </c>
    </row>
    <row r="30">
      <c r="A30" s="2" t="s">
        <v>1330</v>
      </c>
      <c r="D30" s="2" t="s">
        <v>1331</v>
      </c>
      <c r="E30" s="2" t="s">
        <v>1333</v>
      </c>
    </row>
    <row r="31">
      <c r="A31" s="34" t="s">
        <v>1128</v>
      </c>
      <c r="B31" s="20"/>
      <c r="C31" s="20"/>
      <c r="D31" s="20"/>
      <c r="E31" s="20"/>
      <c r="F31" s="34"/>
      <c r="G31" s="34" t="s">
        <v>1133</v>
      </c>
      <c r="H31" s="20"/>
    </row>
    <row r="32">
      <c r="A32" s="34" t="s">
        <v>1335</v>
      </c>
      <c r="B32" s="20"/>
      <c r="C32" s="34" t="s">
        <v>216</v>
      </c>
      <c r="D32" s="34" t="s">
        <v>1336</v>
      </c>
      <c r="E32" s="34" t="s">
        <v>1337</v>
      </c>
      <c r="F32" s="20"/>
      <c r="G32" s="34" t="s">
        <v>1338</v>
      </c>
      <c r="H32" s="20"/>
    </row>
    <row r="33">
      <c r="A33" s="34" t="s">
        <v>425</v>
      </c>
      <c r="B33" s="20"/>
      <c r="C33" s="20"/>
      <c r="D33" s="20"/>
      <c r="E33" s="20"/>
      <c r="F33" s="20"/>
      <c r="G33" s="20"/>
      <c r="H33" s="20"/>
    </row>
    <row r="34">
      <c r="A34" s="2" t="s">
        <v>1339</v>
      </c>
      <c r="E34" s="2" t="s">
        <v>1340</v>
      </c>
      <c r="H34" s="2" t="s">
        <v>828</v>
      </c>
    </row>
    <row r="35">
      <c r="A35" s="34" t="s">
        <v>1162</v>
      </c>
      <c r="B35" s="20"/>
      <c r="C35" s="20"/>
      <c r="D35" s="34" t="s">
        <v>1163</v>
      </c>
      <c r="E35" s="34" t="s">
        <v>1165</v>
      </c>
      <c r="F35" s="20"/>
      <c r="G35" s="34" t="s">
        <v>1341</v>
      </c>
      <c r="H35" s="20"/>
    </row>
    <row r="36">
      <c r="A36" s="2" t="s">
        <v>1342</v>
      </c>
      <c r="E36" s="2" t="s">
        <v>1343</v>
      </c>
      <c r="H36" s="2" t="s">
        <v>828</v>
      </c>
    </row>
    <row r="37">
      <c r="A37" s="34" t="s">
        <v>1344</v>
      </c>
      <c r="B37" s="20"/>
      <c r="C37" s="20"/>
      <c r="D37" s="20"/>
      <c r="E37" s="20"/>
      <c r="F37" s="20"/>
      <c r="G37" s="34" t="s">
        <v>1345</v>
      </c>
      <c r="H37" s="20"/>
    </row>
    <row r="38">
      <c r="A38" s="2" t="s">
        <v>1346</v>
      </c>
      <c r="E38" s="2" t="s">
        <v>1348</v>
      </c>
      <c r="H38" s="2" t="s">
        <v>828</v>
      </c>
    </row>
    <row r="39">
      <c r="A39" s="2" t="s">
        <v>1350</v>
      </c>
      <c r="E39" s="2" t="s">
        <v>1150</v>
      </c>
    </row>
    <row r="40">
      <c r="A40" s="2" t="s">
        <v>1351</v>
      </c>
      <c r="E40" s="2" t="s">
        <v>1352</v>
      </c>
      <c r="H40" s="2" t="s">
        <v>828</v>
      </c>
    </row>
    <row r="41">
      <c r="A41" s="34" t="s">
        <v>662</v>
      </c>
      <c r="B41" s="20"/>
      <c r="C41" s="20"/>
      <c r="D41" s="20"/>
      <c r="E41" s="20"/>
      <c r="F41" s="20"/>
      <c r="G41" s="20"/>
      <c r="H41" s="20"/>
    </row>
    <row r="42">
      <c r="A42" s="2" t="s">
        <v>1353</v>
      </c>
      <c r="E42" s="2" t="s">
        <v>1354</v>
      </c>
      <c r="H42" s="2" t="s">
        <v>828</v>
      </c>
    </row>
    <row r="43">
      <c r="A43" s="2" t="s">
        <v>1355</v>
      </c>
      <c r="E43" s="2" t="s">
        <v>1356</v>
      </c>
    </row>
    <row r="44">
      <c r="A44" s="2" t="s">
        <v>1357</v>
      </c>
      <c r="E44" s="2" t="s">
        <v>1358</v>
      </c>
      <c r="G44" s="2" t="s">
        <v>1359</v>
      </c>
    </row>
    <row r="45">
      <c r="A45" s="34" t="s">
        <v>1360</v>
      </c>
      <c r="B45" s="20"/>
      <c r="C45" s="20"/>
      <c r="D45" s="20"/>
      <c r="E45" s="108" t="s">
        <v>1361</v>
      </c>
      <c r="F45" s="20"/>
      <c r="G45" s="34" t="s">
        <v>1362</v>
      </c>
      <c r="H45" s="20"/>
    </row>
    <row r="46">
      <c r="A46" s="34" t="s">
        <v>685</v>
      </c>
      <c r="B46" s="20"/>
      <c r="C46" s="20"/>
      <c r="D46" s="20"/>
      <c r="E46" s="20"/>
      <c r="F46" s="20"/>
      <c r="G46" s="20"/>
      <c r="H46" s="20"/>
    </row>
    <row r="47">
      <c r="A47" s="2" t="s">
        <v>1363</v>
      </c>
      <c r="B47" s="2" t="s">
        <v>1196</v>
      </c>
      <c r="E47" s="2" t="s">
        <v>1197</v>
      </c>
      <c r="G47" s="2" t="s">
        <v>1363</v>
      </c>
    </row>
    <row r="48">
      <c r="A48" s="84" t="s">
        <v>1364</v>
      </c>
      <c r="B48" s="85"/>
      <c r="C48" s="85"/>
      <c r="D48" s="85"/>
      <c r="E48" s="84" t="s">
        <v>1365</v>
      </c>
      <c r="F48" s="84" t="s">
        <v>1366</v>
      </c>
      <c r="G48" s="85"/>
      <c r="H48" s="84" t="s">
        <v>1285</v>
      </c>
    </row>
    <row r="49">
      <c r="A49" s="34" t="s">
        <v>721</v>
      </c>
      <c r="B49" s="20"/>
      <c r="C49" s="20"/>
      <c r="D49" s="20"/>
      <c r="E49" s="20"/>
      <c r="F49" s="34"/>
      <c r="G49" s="34" t="s">
        <v>746</v>
      </c>
      <c r="H49" s="20"/>
    </row>
    <row r="50">
      <c r="A50" s="2" t="s">
        <v>1367</v>
      </c>
      <c r="E50" s="2" t="s">
        <v>1368</v>
      </c>
      <c r="F50" s="2" t="s">
        <v>1370</v>
      </c>
      <c r="G50" s="2" t="s">
        <v>1371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8</v>
      </c>
      <c r="G1" s="14" t="s">
        <v>9</v>
      </c>
      <c r="H1" s="2" t="s">
        <v>10</v>
      </c>
      <c r="I1" s="2" t="s">
        <v>11</v>
      </c>
    </row>
    <row r="2">
      <c r="A2" s="2" t="s">
        <v>29</v>
      </c>
      <c r="B2" s="2" t="s">
        <v>29</v>
      </c>
      <c r="E2" s="2" t="s">
        <v>31</v>
      </c>
      <c r="H2" s="2" t="s">
        <v>1306</v>
      </c>
    </row>
    <row r="3">
      <c r="A3" s="2" t="s">
        <v>240</v>
      </c>
      <c r="B3" s="2" t="s">
        <v>240</v>
      </c>
      <c r="E3" s="2" t="s">
        <v>1307</v>
      </c>
      <c r="G3" s="2" t="s">
        <v>1308</v>
      </c>
      <c r="H3" s="2" t="s">
        <v>1310</v>
      </c>
    </row>
    <row r="4">
      <c r="A4" s="2" t="s">
        <v>306</v>
      </c>
      <c r="B4" s="2" t="s">
        <v>306</v>
      </c>
      <c r="E4" s="2" t="s">
        <v>830</v>
      </c>
      <c r="H4" s="2" t="s">
        <v>831</v>
      </c>
    </row>
    <row r="5">
      <c r="A5" s="2" t="s">
        <v>1314</v>
      </c>
      <c r="B5" s="2" t="s">
        <v>1314</v>
      </c>
      <c r="E5" s="2" t="s">
        <v>358</v>
      </c>
      <c r="G5" s="2" t="s">
        <v>1316</v>
      </c>
      <c r="H5" s="2" t="s">
        <v>1317</v>
      </c>
    </row>
    <row r="6">
      <c r="A6" s="2" t="s">
        <v>1319</v>
      </c>
      <c r="B6" s="2" t="s">
        <v>1319</v>
      </c>
      <c r="E6" s="2" t="s">
        <v>1322</v>
      </c>
      <c r="G6" s="2" t="s">
        <v>1323</v>
      </c>
    </row>
    <row r="7">
      <c r="A7" s="34" t="s">
        <v>622</v>
      </c>
      <c r="B7" s="34" t="s">
        <v>622</v>
      </c>
      <c r="C7" s="34" t="s">
        <v>216</v>
      </c>
      <c r="D7" s="34" t="s">
        <v>1328</v>
      </c>
      <c r="E7" s="34" t="s">
        <v>1329</v>
      </c>
      <c r="F7" s="20"/>
      <c r="G7" s="20"/>
      <c r="H7" s="20"/>
      <c r="I7" s="20"/>
    </row>
    <row r="8">
      <c r="A8" s="88" t="s">
        <v>670</v>
      </c>
      <c r="B8" s="88" t="s">
        <v>670</v>
      </c>
      <c r="C8" s="89"/>
      <c r="D8" s="88" t="s">
        <v>856</v>
      </c>
      <c r="E8" s="88" t="s">
        <v>858</v>
      </c>
      <c r="F8" s="89"/>
      <c r="G8" s="89"/>
      <c r="H8" s="88" t="s">
        <v>860</v>
      </c>
      <c r="I8" s="89"/>
    </row>
    <row r="9">
      <c r="A9" s="2" t="s">
        <v>695</v>
      </c>
      <c r="B9" s="2" t="s">
        <v>695</v>
      </c>
      <c r="E9" s="2" t="s">
        <v>698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7.29" defaultRowHeight="15.0"/>
  <cols>
    <col customWidth="1" min="4" max="4" width="40.71"/>
    <col customWidth="1" min="5" max="5" width="23.43"/>
  </cols>
  <sheetData>
    <row r="1">
      <c r="A1" s="1" t="s">
        <v>0</v>
      </c>
      <c r="B1" s="4" t="s">
        <v>2</v>
      </c>
      <c r="C1" s="1" t="s">
        <v>3</v>
      </c>
      <c r="D1" s="1" t="s">
        <v>4</v>
      </c>
      <c r="E1" s="7" t="s">
        <v>5</v>
      </c>
      <c r="F1" s="10" t="s">
        <v>7</v>
      </c>
      <c r="G1" s="11"/>
      <c r="H1" s="2" t="s">
        <v>11</v>
      </c>
      <c r="I1" s="14"/>
      <c r="J1" s="11"/>
      <c r="L1" s="11"/>
    </row>
    <row r="2">
      <c r="A2" s="2" t="s">
        <v>1408</v>
      </c>
      <c r="E2" s="2"/>
      <c r="F2" s="2"/>
    </row>
    <row r="3">
      <c r="A3" s="34" t="s">
        <v>1410</v>
      </c>
      <c r="B3" s="20"/>
      <c r="C3" s="34" t="s">
        <v>366</v>
      </c>
      <c r="D3" s="34" t="s">
        <v>1412</v>
      </c>
      <c r="E3" s="34" t="s">
        <v>1413</v>
      </c>
      <c r="F3" s="34" t="s">
        <v>1414</v>
      </c>
      <c r="G3" s="20"/>
      <c r="H3" s="20"/>
    </row>
    <row r="4">
      <c r="A4" s="34" t="s">
        <v>874</v>
      </c>
      <c r="B4" s="20"/>
      <c r="C4" s="34" t="s">
        <v>46</v>
      </c>
      <c r="D4" s="34" t="s">
        <v>1417</v>
      </c>
      <c r="E4" s="20"/>
      <c r="F4" s="34" t="s">
        <v>879</v>
      </c>
      <c r="G4" s="20"/>
      <c r="H4" s="20"/>
    </row>
    <row r="5">
      <c r="A5" s="129" t="s">
        <v>1419</v>
      </c>
      <c r="B5" s="131"/>
      <c r="C5" s="131"/>
      <c r="D5" s="129" t="s">
        <v>1422</v>
      </c>
      <c r="E5" s="131"/>
      <c r="F5" s="131"/>
      <c r="G5" s="131"/>
      <c r="H5" s="131"/>
    </row>
    <row r="6">
      <c r="A6" s="34" t="s">
        <v>1425</v>
      </c>
      <c r="B6" s="20"/>
      <c r="C6" s="34" t="s">
        <v>366</v>
      </c>
      <c r="D6" s="34" t="s">
        <v>1417</v>
      </c>
      <c r="E6" s="20"/>
      <c r="F6" s="34" t="s">
        <v>1425</v>
      </c>
      <c r="G6" s="20"/>
      <c r="H6" s="20"/>
    </row>
    <row r="8">
      <c r="A8" s="2" t="s">
        <v>1428</v>
      </c>
    </row>
    <row r="9">
      <c r="A9" s="34" t="s">
        <v>139</v>
      </c>
      <c r="B9" s="20"/>
      <c r="C9" s="34" t="s">
        <v>46</v>
      </c>
      <c r="D9" s="34" t="s">
        <v>1429</v>
      </c>
      <c r="E9" s="34" t="s">
        <v>815</v>
      </c>
      <c r="F9" s="20"/>
      <c r="G9" s="20"/>
      <c r="H9" s="20"/>
    </row>
    <row r="10">
      <c r="A10" s="34" t="s">
        <v>1106</v>
      </c>
      <c r="B10" s="20"/>
      <c r="C10" s="34" t="s">
        <v>46</v>
      </c>
      <c r="D10" s="34" t="s">
        <v>1430</v>
      </c>
      <c r="E10" s="34" t="s">
        <v>1110</v>
      </c>
      <c r="F10" s="20"/>
      <c r="G10" s="20"/>
      <c r="H10" s="20"/>
    </row>
    <row r="11">
      <c r="A11" s="34" t="s">
        <v>751</v>
      </c>
      <c r="B11" s="20"/>
      <c r="C11" s="34" t="s">
        <v>46</v>
      </c>
      <c r="D11" s="34" t="s">
        <v>1431</v>
      </c>
      <c r="E11" s="20"/>
      <c r="F11" s="20"/>
      <c r="G11" s="20"/>
      <c r="H11" s="20"/>
    </row>
    <row r="12">
      <c r="A12" s="2" t="s">
        <v>1435</v>
      </c>
      <c r="B12" s="2" t="s">
        <v>1436</v>
      </c>
      <c r="D12" s="2" t="s">
        <v>1437</v>
      </c>
      <c r="E12" s="2" t="s">
        <v>1438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5.57"/>
  </cols>
  <sheetData>
    <row r="1">
      <c r="A1" s="34" t="s">
        <v>1406</v>
      </c>
    </row>
    <row r="2">
      <c r="A2" s="125" t="s">
        <v>1407</v>
      </c>
    </row>
    <row r="3">
      <c r="A3" s="38" t="s">
        <v>1409</v>
      </c>
    </row>
    <row r="4">
      <c r="A4" s="126" t="s">
        <v>1411</v>
      </c>
    </row>
    <row r="5">
      <c r="A5" s="2" t="s">
        <v>1415</v>
      </c>
    </row>
    <row r="6">
      <c r="A6" s="69" t="s">
        <v>752</v>
      </c>
    </row>
    <row r="7">
      <c r="A7" s="127" t="s">
        <v>1416</v>
      </c>
    </row>
    <row r="8">
      <c r="A8" s="129" t="s">
        <v>1418</v>
      </c>
    </row>
    <row r="9">
      <c r="A9" s="84" t="s">
        <v>1420</v>
      </c>
    </row>
    <row r="10">
      <c r="A10" s="90" t="s">
        <v>1421</v>
      </c>
    </row>
    <row r="12">
      <c r="A12" s="2" t="s">
        <v>1424</v>
      </c>
    </row>
    <row r="13">
      <c r="A13" s="45" t="s">
        <v>1427</v>
      </c>
    </row>
  </sheetData>
  <drawing r:id="rId1"/>
</worksheet>
</file>